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ly_data" sheetId="1" r:id="rId5"/>
    <sheet state="visible" name="Analysis_Summary" sheetId="2" r:id="rId6"/>
    <sheet state="visible" name="Appendix A - Data dictionary" sheetId="3" r:id="rId7"/>
    <sheet state="visible" name="Appendix B - Reason codes" sheetId="4" r:id="rId8"/>
  </sheets>
  <definedNames/>
  <calcPr/>
</workbook>
</file>

<file path=xl/sharedStrings.xml><?xml version="1.0" encoding="utf-8"?>
<sst xmlns="http://schemas.openxmlformats.org/spreadsheetml/2006/main" count="1242" uniqueCount="224">
  <si>
    <t>Campaign</t>
  </si>
  <si>
    <t>TallyID</t>
  </si>
  <si>
    <t>State</t>
  </si>
  <si>
    <t>LGA</t>
  </si>
  <si>
    <t>Ward</t>
  </si>
  <si>
    <t>DateImp</t>
  </si>
  <si>
    <t>No_settlements</t>
  </si>
  <si>
    <t>TargetPop</t>
  </si>
  <si>
    <t>NoTeams</t>
  </si>
  <si>
    <t>NOHseVist</t>
  </si>
  <si>
    <t>EligChild</t>
  </si>
  <si>
    <t>FPZERO</t>
  </si>
  <si>
    <t>FPOTHER</t>
  </si>
  <si>
    <t>HSEZERO</t>
  </si>
  <si>
    <t>HSEOTHER</t>
  </si>
  <si>
    <t>OUT_school</t>
  </si>
  <si>
    <t>OUT_market</t>
  </si>
  <si>
    <t>OUT_worship</t>
  </si>
  <si>
    <t>OUT_other</t>
  </si>
  <si>
    <t>TotalOUTSIDE</t>
  </si>
  <si>
    <t>Noncompliance_HH</t>
  </si>
  <si>
    <t>Noncompliance_child</t>
  </si>
  <si>
    <t>Noncompliance_HH_Revisit</t>
  </si>
  <si>
    <t>Noncompliance_Child_Revisit</t>
  </si>
  <si>
    <t>Noncompliance_HH_pending</t>
  </si>
  <si>
    <t>Noncompliance_Child_Pending</t>
  </si>
  <si>
    <t>Noncompliance_child_reason</t>
  </si>
  <si>
    <t>Absence_HH</t>
  </si>
  <si>
    <t>Absence_child</t>
  </si>
  <si>
    <t>Absence_HH_Revisit</t>
  </si>
  <si>
    <t>Absence_Child_Revisit</t>
  </si>
  <si>
    <t>Absence_HH_pending</t>
  </si>
  <si>
    <t>Absence_Child_pending</t>
  </si>
  <si>
    <t>Children Vaccinated</t>
  </si>
  <si>
    <t>Vacc Dosesused</t>
  </si>
  <si>
    <t>Decoded Reason</t>
  </si>
  <si>
    <t>Round 1</t>
  </si>
  <si>
    <t>Marindi</t>
  </si>
  <si>
    <t>Adema</t>
  </si>
  <si>
    <t>Adema 1</t>
  </si>
  <si>
    <t>2026-02-15</t>
  </si>
  <si>
    <t>manyrnd</t>
  </si>
  <si>
    <t>Adema 2</t>
  </si>
  <si>
    <t>unhappy</t>
  </si>
  <si>
    <t>Adema 3</t>
  </si>
  <si>
    <t>Adema 4</t>
  </si>
  <si>
    <t>fathernotallowed</t>
  </si>
  <si>
    <t>Adema 5</t>
  </si>
  <si>
    <t>Adema 6</t>
  </si>
  <si>
    <t>Adema 7</t>
  </si>
  <si>
    <t>Adema 8</t>
  </si>
  <si>
    <t>relbelief</t>
  </si>
  <si>
    <t>Adema 9</t>
  </si>
  <si>
    <t>Adema 10</t>
  </si>
  <si>
    <t>Belocha</t>
  </si>
  <si>
    <t>Belocha 1</t>
  </si>
  <si>
    <t>Belocha 2</t>
  </si>
  <si>
    <t>Belocha 3</t>
  </si>
  <si>
    <t>Belocha 4</t>
  </si>
  <si>
    <t>adverseeffect</t>
  </si>
  <si>
    <t>Belocha 5</t>
  </si>
  <si>
    <t>no_reason</t>
  </si>
  <si>
    <t>Belocha 6</t>
  </si>
  <si>
    <t>Belocha 7</t>
  </si>
  <si>
    <t>Cunda</t>
  </si>
  <si>
    <t>Cunda 1</t>
  </si>
  <si>
    <t>Cunda 2</t>
  </si>
  <si>
    <t>Cunda 3</t>
  </si>
  <si>
    <t>Cunda 4</t>
  </si>
  <si>
    <t>Cunda 5</t>
  </si>
  <si>
    <t>Cunda 6</t>
  </si>
  <si>
    <t>Cunda 7</t>
  </si>
  <si>
    <t>Cunda 8</t>
  </si>
  <si>
    <t>otherprotection</t>
  </si>
  <si>
    <t>Cunda 9</t>
  </si>
  <si>
    <t>Doriga</t>
  </si>
  <si>
    <t>Doriga 1</t>
  </si>
  <si>
    <t>Doriga 2</t>
  </si>
  <si>
    <t>sick</t>
  </si>
  <si>
    <t>Doriga 3</t>
  </si>
  <si>
    <t>Doriga 4</t>
  </si>
  <si>
    <t>Doriga 5</t>
  </si>
  <si>
    <t>hascure</t>
  </si>
  <si>
    <t>Doriga 6</t>
  </si>
  <si>
    <t>Eshwe</t>
  </si>
  <si>
    <t>Eshwe 1</t>
  </si>
  <si>
    <t>Eshwe 2</t>
  </si>
  <si>
    <t>Eshwe 3</t>
  </si>
  <si>
    <t>Eshwe 4</t>
  </si>
  <si>
    <t>Eshwe 5</t>
  </si>
  <si>
    <t>Eshwe 6</t>
  </si>
  <si>
    <t>Eshwe 7</t>
  </si>
  <si>
    <t>Eshwe 8</t>
  </si>
  <si>
    <t>Falpani</t>
  </si>
  <si>
    <t>Falpani 1</t>
  </si>
  <si>
    <t>Falpani 2</t>
  </si>
  <si>
    <t>Falpani 3</t>
  </si>
  <si>
    <t>Falpani 4</t>
  </si>
  <si>
    <t>Falpani 5</t>
  </si>
  <si>
    <t>Girim</t>
  </si>
  <si>
    <t>Girim 1</t>
  </si>
  <si>
    <t>Girim 2</t>
  </si>
  <si>
    <t>Girim 3</t>
  </si>
  <si>
    <t>Girim 4</t>
  </si>
  <si>
    <t>Girim 5</t>
  </si>
  <si>
    <t>Girim 6</t>
  </si>
  <si>
    <t>Girim 7</t>
  </si>
  <si>
    <t>Girim 8</t>
  </si>
  <si>
    <t>Girim 9</t>
  </si>
  <si>
    <t>Girim 10</t>
  </si>
  <si>
    <t>Girim 11</t>
  </si>
  <si>
    <t>Hodu</t>
  </si>
  <si>
    <t>Hodu 1</t>
  </si>
  <si>
    <t>Hodu 2</t>
  </si>
  <si>
    <t>Hodu 3</t>
  </si>
  <si>
    <t>Hodu 4</t>
  </si>
  <si>
    <t>Ilumba</t>
  </si>
  <si>
    <t>Ilumba 1</t>
  </si>
  <si>
    <t>Ilumba 2</t>
  </si>
  <si>
    <t>other</t>
  </si>
  <si>
    <t>Ilumba 3</t>
  </si>
  <si>
    <t>Ilumba 4</t>
  </si>
  <si>
    <t>Ilumba 5</t>
  </si>
  <si>
    <t>Ilumba 6</t>
  </si>
  <si>
    <t>Ilumba 7</t>
  </si>
  <si>
    <t>Ilumba 8</t>
  </si>
  <si>
    <t>Ilumba 9</t>
  </si>
  <si>
    <t>Jarken</t>
  </si>
  <si>
    <t>Jarken 1</t>
  </si>
  <si>
    <t>Jarken 2</t>
  </si>
  <si>
    <t>Jarken 3</t>
  </si>
  <si>
    <t>Jarken 4</t>
  </si>
  <si>
    <t>Jarken 5</t>
  </si>
  <si>
    <t>Jarken 6</t>
  </si>
  <si>
    <t>Kweli</t>
  </si>
  <si>
    <t>Kweli 1</t>
  </si>
  <si>
    <t>Kweli 2</t>
  </si>
  <si>
    <t>Kweli 3</t>
  </si>
  <si>
    <t>Kweli 4</t>
  </si>
  <si>
    <t>Kweli 5</t>
  </si>
  <si>
    <t>Kweli 6</t>
  </si>
  <si>
    <t>Kweli 7</t>
  </si>
  <si>
    <t>Kweli 8</t>
  </si>
  <si>
    <t>Lumora</t>
  </si>
  <si>
    <t>Lumora 1</t>
  </si>
  <si>
    <t>Lumora 2</t>
  </si>
  <si>
    <t>Lumora 3</t>
  </si>
  <si>
    <t>Lumora 4</t>
  </si>
  <si>
    <t>Lumora 5</t>
  </si>
  <si>
    <t>Lumora 6</t>
  </si>
  <si>
    <t>Lumora 7</t>
  </si>
  <si>
    <t>Round 2</t>
  </si>
  <si>
    <t>2026-04-19</t>
  </si>
  <si>
    <t>Geographic_Level</t>
  </si>
  <si>
    <t>Round_1_Target Pop</t>
  </si>
  <si>
    <t>Round_1_Vaccinated</t>
  </si>
  <si>
    <t>Round_1_Coverage</t>
  </si>
  <si>
    <t>Round_2_Target Pop</t>
  </si>
  <si>
    <t>Round_2_Vaccinated</t>
  </si>
  <si>
    <t>Round_2_Coverage</t>
  </si>
  <si>
    <t>Coverage_Change</t>
  </si>
  <si>
    <t>Marindi State</t>
  </si>
  <si>
    <t>Non-Compliance Analysis Table</t>
  </si>
  <si>
    <t>Campaign Round</t>
  </si>
  <si>
    <t>Total Non-Compliant Children</t>
  </si>
  <si>
    <t>Total Pending Close</t>
  </si>
  <si>
    <t>Proportion Pending Close</t>
  </si>
  <si>
    <t>Non-Compliance Reason Breakdown Table</t>
  </si>
  <si>
    <t>Full Reason Description</t>
  </si>
  <si>
    <t>Round 1 Non-Compliant Children</t>
  </si>
  <si>
    <t>Round 2 Non-Compliant Children</t>
  </si>
  <si>
    <t>Religious belief</t>
  </si>
  <si>
    <t>Father didn’t allow</t>
  </si>
  <si>
    <t>Fatigue from many rounds</t>
  </si>
  <si>
    <t>No reason given</t>
  </si>
  <si>
    <t>Child sick</t>
  </si>
  <si>
    <t>Unhappy (with the team / programme)</t>
  </si>
  <si>
    <t>Concerned about adverse effect</t>
  </si>
  <si>
    <t>Has an alternative to the vaccine</t>
  </si>
  <si>
    <t>Claims to have a cure</t>
  </si>
  <si>
    <t>Other (unspecified)</t>
  </si>
  <si>
    <t>Appendix A — Data dictionary</t>
  </si>
  <si>
    <t>One row per ward per round in the tally_data sheet. Not every field is needed for the exercise; part of the task is identifying what is relevant.</t>
  </si>
  <si>
    <t>Field</t>
  </si>
  <si>
    <t>Definition</t>
  </si>
  <si>
    <t>Vaccination round this record belongs to (Round 1 or Round 2).</t>
  </si>
  <si>
    <t>Unique ID for each ward-round tally record.</t>
  </si>
  <si>
    <t>State name (Marindi).</t>
  </si>
  <si>
    <t>Local Government Area; the mid-level administrative unit.</t>
  </si>
  <si>
    <t>Ward; the lowest administrative unit. Each ward appears once per round.</t>
  </si>
  <si>
    <t>Campaign implementation date for the round.</t>
  </si>
  <si>
    <t>Number of settlements covered in the ward.</t>
  </si>
  <si>
    <t>Target population: eligible children (0–59 months) planned for vaccination.</t>
  </si>
  <si>
    <t>Number of vaccination teams deployed.</t>
  </si>
  <si>
    <t>Number of houses visited.</t>
  </si>
  <si>
    <t>Eligible children enumerated during the campaign.</t>
  </si>
  <si>
    <t>Fixed-post: zero-dose children vaccinated (no prior dose).</t>
  </si>
  <si>
    <t>Fixed-post: previously-vaccinated children vaccinated.</t>
  </si>
  <si>
    <t>House-to-house: zero-dose children vaccinated.</t>
  </si>
  <si>
    <t>House-to-house: previously-vaccinated children vaccinated.</t>
  </si>
  <si>
    <t>Children vaccinated at schools.</t>
  </si>
  <si>
    <t>Children vaccinated at markets.</t>
  </si>
  <si>
    <t>Children vaccinated at places of worship.</t>
  </si>
  <si>
    <t>Children vaccinated at other out-of-household sites.</t>
  </si>
  <si>
    <t>Total children vaccinated outside the household (sum of out-of-household sites).</t>
  </si>
  <si>
    <t>Households that refused vaccination (non-compliant).</t>
  </si>
  <si>
    <t>Children missed because their household refused.</t>
  </si>
  <si>
    <t>Non-compliant households resolved on revisit.</t>
  </si>
  <si>
    <t>Children vaccinated after revisiting a non-compliant household.</t>
  </si>
  <si>
    <t>Non-compliant households still unresolved at campaign close.</t>
  </si>
  <si>
    <t>Children still unvaccinated due to ongoing refusal.</t>
  </si>
  <si>
    <t>Predominant recorded reason for non-compliance in the ward (see Appendix B). Blank where there were none.</t>
  </si>
  <si>
    <t>Households where eligible children were absent during the visit.</t>
  </si>
  <si>
    <t>Eligible children absent during the visit.</t>
  </si>
  <si>
    <t>Absent households resolved on revisit.</t>
  </si>
  <si>
    <t>Absent children vaccinated on revisit.</t>
  </si>
  <si>
    <t>Absent households still pending at campaign close.</t>
  </si>
  <si>
    <t>Absent children still unvaccinated at campaign close.</t>
  </si>
  <si>
    <t>Total children vaccinated in the ward for that round.</t>
  </si>
  <si>
    <t>Total vaccine doses opened/used (administered plus wastage); recorded in multiples of 50, as one vial contains 50 doses.</t>
  </si>
  <si>
    <t>Appendix B — Non-compliance reason codes</t>
  </si>
  <si>
    <t>Codes used in the "Noncompliance_child_reason" column. One predominant reason is recorded per ward; it applies to that ward’s non-compliant children. Blank = no non-compliant children in the ward.</t>
  </si>
  <si>
    <t>Code</t>
  </si>
  <si>
    <t>Meaning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</si>
</sst>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Candara"/>
    </font>
    <font>
      <color theme="1"/>
      <name val="Calibri"/>
      <scheme val="minor"/>
    </font>
    <font>
      <sz val="10.0"/>
      <color theme="1"/>
      <name val="Candara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b/>
      <sz val="13.0"/>
      <color rgb="FF1A4731"/>
      <name val="Candara"/>
    </font>
    <font>
      <i/>
      <sz val="9.0"/>
      <color rgb="FF666666"/>
      <name val="Candara"/>
    </font>
    <font>
      <b/>
      <sz val="10.0"/>
      <color rgb="FF1A4731"/>
      <name val="Candara"/>
    </font>
  </fonts>
  <fills count="6">
    <fill>
      <patternFill patternType="none"/>
    </fill>
    <fill>
      <patternFill patternType="lightGray"/>
    </fill>
    <fill>
      <patternFill patternType="solid">
        <fgColor rgb="FF1A4731"/>
        <bgColor rgb="FF1A4731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EAF3EC"/>
        <bgColor rgb="FFEAF3EC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0" fillId="0" fontId="3" numFmtId="0" xfId="0" applyFont="1"/>
    <xf borderId="0" fillId="4" fontId="2" numFmtId="0" xfId="0" applyAlignment="1" applyFill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6" numFmtId="0" xfId="0" applyFont="1"/>
    <xf borderId="0" fillId="0" fontId="7" numFmtId="0" xfId="0" applyAlignment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5" fontId="8" numFmtId="0" xfId="0" applyAlignment="1" applyBorder="1" applyFill="1" applyFont="1">
      <alignment horizontal="left" shrinkToFit="0" vertical="center" wrapText="1"/>
    </xf>
    <xf borderId="1" fillId="5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1.0"/>
    <col customWidth="1" min="2" max="26" width="13.0"/>
    <col customWidth="1" min="27" max="27" width="24.0"/>
    <col customWidth="1" min="28" max="36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</row>
    <row r="2">
      <c r="A2" s="3" t="s">
        <v>36</v>
      </c>
      <c r="B2" s="3">
        <v>1.0</v>
      </c>
      <c r="C2" s="3" t="s">
        <v>37</v>
      </c>
      <c r="D2" s="3" t="s">
        <v>38</v>
      </c>
      <c r="E2" s="3" t="s">
        <v>39</v>
      </c>
      <c r="F2" s="3" t="s">
        <v>40</v>
      </c>
      <c r="G2" s="3">
        <v>33.0</v>
      </c>
      <c r="H2" s="3">
        <v>1798.0</v>
      </c>
      <c r="I2" s="3">
        <v>2.0</v>
      </c>
      <c r="J2" s="3">
        <v>1700.0</v>
      </c>
      <c r="K2" s="3">
        <v>1895.0</v>
      </c>
      <c r="L2" s="3">
        <v>66.0</v>
      </c>
      <c r="M2" s="3">
        <v>165.0</v>
      </c>
      <c r="N2" s="3">
        <v>87.0</v>
      </c>
      <c r="O2" s="3">
        <v>1065.0</v>
      </c>
      <c r="P2" s="3">
        <v>50.0</v>
      </c>
      <c r="Q2" s="3">
        <v>40.0</v>
      </c>
      <c r="R2" s="3">
        <v>75.0</v>
      </c>
      <c r="S2" s="3">
        <v>6.0</v>
      </c>
      <c r="T2" s="3">
        <v>171.0</v>
      </c>
      <c r="U2" s="3">
        <v>2.0</v>
      </c>
      <c r="V2" s="3">
        <v>4.0</v>
      </c>
      <c r="W2" s="3">
        <v>1.0</v>
      </c>
      <c r="X2" s="3">
        <v>2.0</v>
      </c>
      <c r="Y2" s="3">
        <v>1.0</v>
      </c>
      <c r="Z2" s="3">
        <v>2.0</v>
      </c>
      <c r="AA2" s="3" t="s">
        <v>41</v>
      </c>
      <c r="AB2" s="3">
        <v>4.0</v>
      </c>
      <c r="AC2" s="3">
        <v>6.0</v>
      </c>
      <c r="AD2" s="3">
        <v>3.0</v>
      </c>
      <c r="AE2" s="3">
        <v>5.0</v>
      </c>
      <c r="AF2" s="3">
        <v>1.0</v>
      </c>
      <c r="AG2" s="3">
        <v>1.0</v>
      </c>
      <c r="AH2" s="3">
        <v>1752.0</v>
      </c>
      <c r="AI2" s="3">
        <v>2000.0</v>
      </c>
      <c r="AJ2" s="3" t="str">
        <f t="array" ref="AJ2">IF(AA2="", "", XLOOKUP(AA2, 'Appendix B - Reason codes'!$A$4:$A$14, 'Appendix B - Reason codes'!$B$4:$B$14))</f>
        <v>Fatigue from many rounds</v>
      </c>
    </row>
    <row r="3">
      <c r="A3" s="3" t="s">
        <v>36</v>
      </c>
      <c r="B3" s="3">
        <v>2.0</v>
      </c>
      <c r="C3" s="3" t="s">
        <v>37</v>
      </c>
      <c r="D3" s="3" t="s">
        <v>38</v>
      </c>
      <c r="E3" s="3" t="s">
        <v>42</v>
      </c>
      <c r="F3" s="3" t="s">
        <v>40</v>
      </c>
      <c r="G3" s="3">
        <v>10.0</v>
      </c>
      <c r="H3" s="3">
        <v>3279.0</v>
      </c>
      <c r="I3" s="3">
        <v>5.0</v>
      </c>
      <c r="J3" s="3">
        <v>2586.0</v>
      </c>
      <c r="K3" s="3">
        <v>3418.0</v>
      </c>
      <c r="L3" s="3">
        <v>58.0</v>
      </c>
      <c r="M3" s="3">
        <v>223.0</v>
      </c>
      <c r="N3" s="3">
        <v>137.0</v>
      </c>
      <c r="O3" s="3">
        <v>2420.0</v>
      </c>
      <c r="P3" s="3">
        <v>4.0</v>
      </c>
      <c r="Q3" s="3">
        <v>44.0</v>
      </c>
      <c r="R3" s="3">
        <v>7.0</v>
      </c>
      <c r="S3" s="3">
        <v>83.0</v>
      </c>
      <c r="T3" s="3">
        <v>138.0</v>
      </c>
      <c r="U3" s="3">
        <v>3.0</v>
      </c>
      <c r="V3" s="3">
        <v>6.0</v>
      </c>
      <c r="W3" s="3">
        <v>2.0</v>
      </c>
      <c r="X3" s="3">
        <v>5.0</v>
      </c>
      <c r="Y3" s="3">
        <v>1.0</v>
      </c>
      <c r="Z3" s="3">
        <v>1.0</v>
      </c>
      <c r="AA3" s="3" t="s">
        <v>43</v>
      </c>
      <c r="AB3" s="3">
        <v>2.0</v>
      </c>
      <c r="AC3" s="3">
        <v>4.0</v>
      </c>
      <c r="AD3" s="3">
        <v>2.0</v>
      </c>
      <c r="AE3" s="3">
        <v>3.0</v>
      </c>
      <c r="AF3" s="3">
        <v>0.0</v>
      </c>
      <c r="AG3" s="3">
        <v>1.0</v>
      </c>
      <c r="AH3" s="3">
        <v>3162.0</v>
      </c>
      <c r="AI3" s="3">
        <v>3600.0</v>
      </c>
      <c r="AJ3" s="3" t="str">
        <f t="array" ref="AJ3">IF(AA3="", "", XLOOKUP(AA3, 'Appendix B - Reason codes'!$A$4:$A$14, 'Appendix B - Reason codes'!$B$4:$B$14))</f>
        <v>Unhappy (with the team / programme)</v>
      </c>
    </row>
    <row r="4">
      <c r="A4" s="3" t="s">
        <v>36</v>
      </c>
      <c r="B4" s="3">
        <v>3.0</v>
      </c>
      <c r="C4" s="3" t="s">
        <v>37</v>
      </c>
      <c r="D4" s="3" t="s">
        <v>38</v>
      </c>
      <c r="E4" s="3" t="s">
        <v>44</v>
      </c>
      <c r="F4" s="3" t="s">
        <v>40</v>
      </c>
      <c r="G4" s="3">
        <v>37.0</v>
      </c>
      <c r="H4" s="3">
        <v>4882.0</v>
      </c>
      <c r="I4" s="3">
        <v>7.0</v>
      </c>
      <c r="J4" s="3">
        <v>4059.0</v>
      </c>
      <c r="K4" s="3">
        <v>5205.0</v>
      </c>
      <c r="L4" s="3">
        <v>28.0</v>
      </c>
      <c r="M4" s="3">
        <v>61.0</v>
      </c>
      <c r="N4" s="3">
        <v>38.0</v>
      </c>
      <c r="O4" s="3">
        <v>3705.0</v>
      </c>
      <c r="P4" s="3">
        <v>156.0</v>
      </c>
      <c r="Q4" s="3">
        <v>98.0</v>
      </c>
      <c r="R4" s="3">
        <v>139.0</v>
      </c>
      <c r="S4" s="3">
        <v>102.0</v>
      </c>
      <c r="T4" s="3">
        <v>495.0</v>
      </c>
      <c r="U4" s="3">
        <v>4.0</v>
      </c>
      <c r="V4" s="3">
        <v>6.0</v>
      </c>
      <c r="W4" s="3">
        <v>3.0</v>
      </c>
      <c r="X4" s="3">
        <v>5.0</v>
      </c>
      <c r="Y4" s="3">
        <v>1.0</v>
      </c>
      <c r="Z4" s="3">
        <v>1.0</v>
      </c>
      <c r="AA4" s="3" t="s">
        <v>41</v>
      </c>
      <c r="AB4" s="3">
        <v>2.0</v>
      </c>
      <c r="AC4" s="3">
        <v>3.0</v>
      </c>
      <c r="AD4" s="3">
        <v>2.0</v>
      </c>
      <c r="AE4" s="3">
        <v>2.0</v>
      </c>
      <c r="AF4" s="3">
        <v>0.0</v>
      </c>
      <c r="AG4" s="3">
        <v>1.0</v>
      </c>
      <c r="AH4" s="3">
        <v>4408.0</v>
      </c>
      <c r="AI4" s="3">
        <v>4900.0</v>
      </c>
      <c r="AJ4" s="3" t="str">
        <f t="array" ref="AJ4">IF(AA4="", "", XLOOKUP(AA4, 'Appendix B - Reason codes'!$A$4:$A$14, 'Appendix B - Reason codes'!$B$4:$B$14))</f>
        <v>Fatigue from many rounds</v>
      </c>
    </row>
    <row r="5">
      <c r="A5" s="3" t="s">
        <v>36</v>
      </c>
      <c r="B5" s="3">
        <v>4.0</v>
      </c>
      <c r="C5" s="3" t="s">
        <v>37</v>
      </c>
      <c r="D5" s="3" t="s">
        <v>38</v>
      </c>
      <c r="E5" s="3" t="s">
        <v>45</v>
      </c>
      <c r="F5" s="3" t="s">
        <v>40</v>
      </c>
      <c r="G5" s="3">
        <v>10.0</v>
      </c>
      <c r="H5" s="3">
        <v>2836.0</v>
      </c>
      <c r="I5" s="3">
        <v>4.0</v>
      </c>
      <c r="J5" s="3">
        <v>2721.0</v>
      </c>
      <c r="K5" s="3">
        <v>3077.0</v>
      </c>
      <c r="L5" s="3">
        <v>34.0</v>
      </c>
      <c r="M5" s="3">
        <v>204.0</v>
      </c>
      <c r="N5" s="3">
        <v>32.0</v>
      </c>
      <c r="O5" s="3">
        <v>2148.0</v>
      </c>
      <c r="P5" s="3">
        <v>17.0</v>
      </c>
      <c r="Q5" s="3">
        <v>3.0</v>
      </c>
      <c r="R5" s="3">
        <v>102.0</v>
      </c>
      <c r="S5" s="3">
        <v>9.0</v>
      </c>
      <c r="T5" s="3">
        <v>131.0</v>
      </c>
      <c r="U5" s="3">
        <v>3.0</v>
      </c>
      <c r="V5" s="3">
        <v>6.0</v>
      </c>
      <c r="W5" s="3">
        <v>2.0</v>
      </c>
      <c r="X5" s="3">
        <v>5.0</v>
      </c>
      <c r="Y5" s="3">
        <v>1.0</v>
      </c>
      <c r="Z5" s="3">
        <v>1.0</v>
      </c>
      <c r="AA5" s="3" t="s">
        <v>46</v>
      </c>
      <c r="AB5" s="3">
        <v>5.0</v>
      </c>
      <c r="AC5" s="3">
        <v>7.0</v>
      </c>
      <c r="AD5" s="3">
        <v>4.0</v>
      </c>
      <c r="AE5" s="3">
        <v>6.0</v>
      </c>
      <c r="AF5" s="3">
        <v>1.0</v>
      </c>
      <c r="AG5" s="3">
        <v>1.0</v>
      </c>
      <c r="AH5" s="3">
        <v>2674.0</v>
      </c>
      <c r="AI5" s="3">
        <v>3000.0</v>
      </c>
      <c r="AJ5" s="3" t="str">
        <f t="array" ref="AJ5">IF(AA5="", "", XLOOKUP(AA5, 'Appendix B - Reason codes'!$A$4:$A$14, 'Appendix B - Reason codes'!$B$4:$B$14))</f>
        <v>Father didn’t allow</v>
      </c>
    </row>
    <row r="6">
      <c r="A6" s="3" t="s">
        <v>36</v>
      </c>
      <c r="B6" s="3">
        <v>5.0</v>
      </c>
      <c r="C6" s="3" t="s">
        <v>37</v>
      </c>
      <c r="D6" s="3" t="s">
        <v>38</v>
      </c>
      <c r="E6" s="3" t="s">
        <v>47</v>
      </c>
      <c r="F6" s="3" t="s">
        <v>40</v>
      </c>
      <c r="G6" s="3">
        <v>38.0</v>
      </c>
      <c r="H6" s="3">
        <v>7073.0</v>
      </c>
      <c r="I6" s="3">
        <v>10.0</v>
      </c>
      <c r="J6" s="3">
        <v>6350.0</v>
      </c>
      <c r="K6" s="3">
        <v>7608.0</v>
      </c>
      <c r="L6" s="3">
        <v>49.0</v>
      </c>
      <c r="M6" s="3">
        <v>530.0</v>
      </c>
      <c r="N6" s="3">
        <v>22.0</v>
      </c>
      <c r="O6" s="3">
        <v>3323.0</v>
      </c>
      <c r="P6" s="3">
        <v>218.0</v>
      </c>
      <c r="Q6" s="3">
        <v>186.0</v>
      </c>
      <c r="R6" s="3">
        <v>47.0</v>
      </c>
      <c r="S6" s="3">
        <v>41.0</v>
      </c>
      <c r="T6" s="3">
        <v>492.0</v>
      </c>
      <c r="U6" s="3">
        <v>7.0</v>
      </c>
      <c r="V6" s="3">
        <v>15.0</v>
      </c>
      <c r="W6" s="3">
        <v>5.0</v>
      </c>
      <c r="X6" s="3">
        <v>10.0</v>
      </c>
      <c r="Y6" s="3">
        <v>2.0</v>
      </c>
      <c r="Z6" s="3">
        <v>5.0</v>
      </c>
      <c r="AA6" s="3" t="s">
        <v>46</v>
      </c>
      <c r="AB6" s="3">
        <v>6.0</v>
      </c>
      <c r="AC6" s="3">
        <v>12.0</v>
      </c>
      <c r="AD6" s="3">
        <v>5.0</v>
      </c>
      <c r="AE6" s="3">
        <v>10.0</v>
      </c>
      <c r="AF6" s="3">
        <v>1.0</v>
      </c>
      <c r="AG6" s="3">
        <v>2.0</v>
      </c>
      <c r="AH6" s="3">
        <v>6032.0</v>
      </c>
      <c r="AI6" s="3">
        <v>6850.0</v>
      </c>
      <c r="AJ6" s="3" t="str">
        <f t="array" ref="AJ6">IF(AA6="", "", XLOOKUP(AA6, 'Appendix B - Reason codes'!$A$4:$A$14, 'Appendix B - Reason codes'!$B$4:$B$14))</f>
        <v>Father didn’t allow</v>
      </c>
    </row>
    <row r="7">
      <c r="A7" s="3" t="s">
        <v>36</v>
      </c>
      <c r="B7" s="3">
        <v>6.0</v>
      </c>
      <c r="C7" s="3" t="s">
        <v>37</v>
      </c>
      <c r="D7" s="3" t="s">
        <v>38</v>
      </c>
      <c r="E7" s="3" t="s">
        <v>48</v>
      </c>
      <c r="F7" s="3" t="s">
        <v>40</v>
      </c>
      <c r="G7" s="3">
        <v>36.0</v>
      </c>
      <c r="H7" s="3">
        <v>5795.0</v>
      </c>
      <c r="I7" s="3">
        <v>8.0</v>
      </c>
      <c r="J7" s="3">
        <v>4811.0</v>
      </c>
      <c r="K7" s="3">
        <v>6358.0</v>
      </c>
      <c r="L7" s="3">
        <v>68.0</v>
      </c>
      <c r="M7" s="3">
        <v>426.0</v>
      </c>
      <c r="N7" s="3">
        <v>156.0</v>
      </c>
      <c r="O7" s="3">
        <v>4117.0</v>
      </c>
      <c r="P7" s="3">
        <v>175.0</v>
      </c>
      <c r="Q7" s="3">
        <v>100.0</v>
      </c>
      <c r="R7" s="3">
        <v>44.0</v>
      </c>
      <c r="S7" s="3">
        <v>122.0</v>
      </c>
      <c r="T7" s="3">
        <v>441.0</v>
      </c>
      <c r="U7" s="3">
        <v>5.0</v>
      </c>
      <c r="V7" s="3">
        <v>10.0</v>
      </c>
      <c r="W7" s="3">
        <v>3.0</v>
      </c>
      <c r="X7" s="3">
        <v>7.0</v>
      </c>
      <c r="Y7" s="3">
        <v>2.0</v>
      </c>
      <c r="Z7" s="3">
        <v>3.0</v>
      </c>
      <c r="AA7" s="3" t="s">
        <v>43</v>
      </c>
      <c r="AB7" s="3">
        <v>7.0</v>
      </c>
      <c r="AC7" s="3">
        <v>11.0</v>
      </c>
      <c r="AD7" s="3">
        <v>5.0</v>
      </c>
      <c r="AE7" s="3">
        <v>8.0</v>
      </c>
      <c r="AF7" s="3">
        <v>2.0</v>
      </c>
      <c r="AG7" s="3">
        <v>3.0</v>
      </c>
      <c r="AH7" s="3">
        <v>5059.0</v>
      </c>
      <c r="AI7" s="3">
        <v>5650.0</v>
      </c>
      <c r="AJ7" s="3" t="str">
        <f t="array" ref="AJ7">IF(AA7="", "", XLOOKUP(AA7, 'Appendix B - Reason codes'!$A$4:$A$14, 'Appendix B - Reason codes'!$B$4:$B$14))</f>
        <v>Unhappy (with the team / programme)</v>
      </c>
    </row>
    <row r="8">
      <c r="A8" s="3" t="s">
        <v>36</v>
      </c>
      <c r="B8" s="3">
        <v>7.0</v>
      </c>
      <c r="C8" s="3" t="s">
        <v>37</v>
      </c>
      <c r="D8" s="3" t="s">
        <v>38</v>
      </c>
      <c r="E8" s="3" t="s">
        <v>49</v>
      </c>
      <c r="F8" s="3" t="s">
        <v>40</v>
      </c>
      <c r="G8" s="3">
        <v>34.0</v>
      </c>
      <c r="H8" s="3">
        <v>2415.0</v>
      </c>
      <c r="I8" s="3">
        <v>3.0</v>
      </c>
      <c r="J8" s="3">
        <v>2398.0</v>
      </c>
      <c r="K8" s="3">
        <v>2682.0</v>
      </c>
      <c r="L8" s="3">
        <v>88.0</v>
      </c>
      <c r="M8" s="3">
        <v>179.0</v>
      </c>
      <c r="N8" s="3">
        <v>99.0</v>
      </c>
      <c r="O8" s="3">
        <v>1259.0</v>
      </c>
      <c r="P8" s="3">
        <v>13.0</v>
      </c>
      <c r="Q8" s="3">
        <v>35.0</v>
      </c>
      <c r="R8" s="3">
        <v>16.0</v>
      </c>
      <c r="S8" s="3">
        <v>22.0</v>
      </c>
      <c r="T8" s="3">
        <v>86.0</v>
      </c>
      <c r="U8" s="3">
        <v>3.0</v>
      </c>
      <c r="V8" s="3">
        <v>6.0</v>
      </c>
      <c r="W8" s="3">
        <v>2.0</v>
      </c>
      <c r="X8" s="3">
        <v>5.0</v>
      </c>
      <c r="Y8" s="3">
        <v>1.0</v>
      </c>
      <c r="Z8" s="3">
        <v>1.0</v>
      </c>
      <c r="AA8" s="3" t="s">
        <v>43</v>
      </c>
      <c r="AB8" s="3">
        <v>4.0</v>
      </c>
      <c r="AC8" s="3">
        <v>6.0</v>
      </c>
      <c r="AD8" s="3">
        <v>3.0</v>
      </c>
      <c r="AE8" s="3">
        <v>4.0</v>
      </c>
      <c r="AF8" s="3">
        <v>1.0</v>
      </c>
      <c r="AG8" s="3">
        <v>2.0</v>
      </c>
      <c r="AH8" s="3">
        <v>2239.0</v>
      </c>
      <c r="AI8" s="3">
        <v>2500.0</v>
      </c>
      <c r="AJ8" s="3" t="str">
        <f t="array" ref="AJ8">IF(AA8="", "", XLOOKUP(AA8, 'Appendix B - Reason codes'!$A$4:$A$14, 'Appendix B - Reason codes'!$B$4:$B$14))</f>
        <v>Unhappy (with the team / programme)</v>
      </c>
    </row>
    <row r="9">
      <c r="A9" s="3" t="s">
        <v>36</v>
      </c>
      <c r="B9" s="3">
        <v>8.0</v>
      </c>
      <c r="C9" s="3" t="s">
        <v>37</v>
      </c>
      <c r="D9" s="3" t="s">
        <v>38</v>
      </c>
      <c r="E9" s="3" t="s">
        <v>50</v>
      </c>
      <c r="F9" s="3" t="s">
        <v>40</v>
      </c>
      <c r="G9" s="3">
        <v>45.0</v>
      </c>
      <c r="H9" s="3">
        <v>7839.0</v>
      </c>
      <c r="I9" s="3">
        <v>12.0</v>
      </c>
      <c r="J9" s="3">
        <v>6661.0</v>
      </c>
      <c r="K9" s="3">
        <v>8674.0</v>
      </c>
      <c r="L9" s="3">
        <v>102.0</v>
      </c>
      <c r="M9" s="3">
        <v>18.0</v>
      </c>
      <c r="N9" s="3">
        <v>225.0</v>
      </c>
      <c r="O9" s="3">
        <v>6148.0</v>
      </c>
      <c r="P9" s="3">
        <v>101.0</v>
      </c>
      <c r="Q9" s="3">
        <v>115.0</v>
      </c>
      <c r="R9" s="3">
        <v>131.0</v>
      </c>
      <c r="S9" s="3">
        <v>36.0</v>
      </c>
      <c r="T9" s="3">
        <v>383.0</v>
      </c>
      <c r="U9" s="3">
        <v>6.0</v>
      </c>
      <c r="V9" s="3">
        <v>13.0</v>
      </c>
      <c r="W9" s="3">
        <v>5.0</v>
      </c>
      <c r="X9" s="3">
        <v>11.0</v>
      </c>
      <c r="Y9" s="3">
        <v>1.0</v>
      </c>
      <c r="Z9" s="3">
        <v>2.0</v>
      </c>
      <c r="AA9" s="3" t="s">
        <v>51</v>
      </c>
      <c r="AB9" s="3">
        <v>7.0</v>
      </c>
      <c r="AC9" s="3">
        <v>10.0</v>
      </c>
      <c r="AD9" s="3">
        <v>6.0</v>
      </c>
      <c r="AE9" s="3">
        <v>9.0</v>
      </c>
      <c r="AF9" s="3">
        <v>1.0</v>
      </c>
      <c r="AG9" s="3">
        <v>1.0</v>
      </c>
      <c r="AH9" s="3">
        <v>7310.0</v>
      </c>
      <c r="AI9" s="3">
        <v>8150.0</v>
      </c>
      <c r="AJ9" s="3" t="str">
        <f t="array" ref="AJ9">IF(AA9="", "", XLOOKUP(AA9, 'Appendix B - Reason codes'!$A$4:$A$14, 'Appendix B - Reason codes'!$B$4:$B$14))</f>
        <v>Religious belief</v>
      </c>
    </row>
    <row r="10">
      <c r="A10" s="3" t="s">
        <v>36</v>
      </c>
      <c r="B10" s="3">
        <v>9.0</v>
      </c>
      <c r="C10" s="3" t="s">
        <v>37</v>
      </c>
      <c r="D10" s="3" t="s">
        <v>38</v>
      </c>
      <c r="E10" s="3" t="s">
        <v>52</v>
      </c>
      <c r="F10" s="3" t="s">
        <v>40</v>
      </c>
      <c r="G10" s="3">
        <v>15.0</v>
      </c>
      <c r="H10" s="3">
        <v>6701.0</v>
      </c>
      <c r="I10" s="3">
        <v>10.0</v>
      </c>
      <c r="J10" s="3">
        <v>6609.0</v>
      </c>
      <c r="K10" s="3">
        <v>6992.0</v>
      </c>
      <c r="L10" s="3">
        <v>179.0</v>
      </c>
      <c r="M10" s="3">
        <v>600.0</v>
      </c>
      <c r="N10" s="3">
        <v>146.0</v>
      </c>
      <c r="O10" s="3">
        <v>3746.0</v>
      </c>
      <c r="P10" s="3">
        <v>313.0</v>
      </c>
      <c r="Q10" s="3">
        <v>39.0</v>
      </c>
      <c r="R10" s="3">
        <v>291.0</v>
      </c>
      <c r="S10" s="3">
        <v>181.0</v>
      </c>
      <c r="T10" s="3">
        <v>824.0</v>
      </c>
      <c r="U10" s="3">
        <v>1.0</v>
      </c>
      <c r="V10" s="3">
        <v>1.0</v>
      </c>
      <c r="W10" s="3">
        <v>1.0</v>
      </c>
      <c r="X10" s="3">
        <v>1.0</v>
      </c>
      <c r="Y10" s="3">
        <v>0.0</v>
      </c>
      <c r="Z10" s="3">
        <v>0.0</v>
      </c>
      <c r="AA10" s="3" t="s">
        <v>46</v>
      </c>
      <c r="AB10" s="3">
        <v>9.0</v>
      </c>
      <c r="AC10" s="3">
        <v>17.0</v>
      </c>
      <c r="AD10" s="3">
        <v>8.0</v>
      </c>
      <c r="AE10" s="3">
        <v>15.0</v>
      </c>
      <c r="AF10" s="3">
        <v>1.0</v>
      </c>
      <c r="AG10" s="3">
        <v>2.0</v>
      </c>
      <c r="AH10" s="3">
        <v>6291.0</v>
      </c>
      <c r="AI10" s="3">
        <v>6950.0</v>
      </c>
      <c r="AJ10" s="3" t="str">
        <f t="array" ref="AJ10">IF(AA10="", "", XLOOKUP(AA10, 'Appendix B - Reason codes'!$A$4:$A$14, 'Appendix B - Reason codes'!$B$4:$B$14))</f>
        <v>Father didn’t allow</v>
      </c>
    </row>
    <row r="11">
      <c r="A11" s="3" t="s">
        <v>36</v>
      </c>
      <c r="B11" s="3">
        <v>10.0</v>
      </c>
      <c r="C11" s="3" t="s">
        <v>37</v>
      </c>
      <c r="D11" s="3" t="s">
        <v>38</v>
      </c>
      <c r="E11" s="3" t="s">
        <v>53</v>
      </c>
      <c r="F11" s="3" t="s">
        <v>40</v>
      </c>
      <c r="G11" s="3">
        <v>12.0</v>
      </c>
      <c r="H11" s="3">
        <v>5224.0</v>
      </c>
      <c r="I11" s="3">
        <v>8.0</v>
      </c>
      <c r="J11" s="3">
        <v>3943.0</v>
      </c>
      <c r="K11" s="3">
        <v>5780.0</v>
      </c>
      <c r="L11" s="3">
        <v>168.0</v>
      </c>
      <c r="M11" s="3">
        <v>102.0</v>
      </c>
      <c r="N11" s="3">
        <v>13.0</v>
      </c>
      <c r="O11" s="3">
        <v>2849.0</v>
      </c>
      <c r="P11" s="3">
        <v>215.0</v>
      </c>
      <c r="Q11" s="3">
        <v>81.0</v>
      </c>
      <c r="R11" s="3">
        <v>9.0</v>
      </c>
      <c r="S11" s="3">
        <v>62.0</v>
      </c>
      <c r="T11" s="3">
        <v>367.0</v>
      </c>
      <c r="U11" s="3">
        <v>3.0</v>
      </c>
      <c r="V11" s="3">
        <v>6.0</v>
      </c>
      <c r="W11" s="3">
        <v>2.0</v>
      </c>
      <c r="X11" s="3">
        <v>4.0</v>
      </c>
      <c r="Y11" s="3">
        <v>1.0</v>
      </c>
      <c r="Z11" s="3">
        <v>2.0</v>
      </c>
      <c r="AA11" s="3" t="s">
        <v>51</v>
      </c>
      <c r="AB11" s="3">
        <v>2.0</v>
      </c>
      <c r="AC11" s="3">
        <v>3.0</v>
      </c>
      <c r="AD11" s="3">
        <v>1.0</v>
      </c>
      <c r="AE11" s="3">
        <v>2.0</v>
      </c>
      <c r="AF11" s="3">
        <v>1.0</v>
      </c>
      <c r="AG11" s="3">
        <v>1.0</v>
      </c>
      <c r="AH11" s="3">
        <v>4952.0</v>
      </c>
      <c r="AI11" s="3">
        <v>5600.0</v>
      </c>
      <c r="AJ11" s="3" t="str">
        <f t="array" ref="AJ11">IF(AA11="", "", XLOOKUP(AA11, 'Appendix B - Reason codes'!$A$4:$A$14, 'Appendix B - Reason codes'!$B$4:$B$14))</f>
        <v>Religious belief</v>
      </c>
    </row>
    <row r="12">
      <c r="A12" s="3" t="s">
        <v>36</v>
      </c>
      <c r="B12" s="3">
        <v>11.0</v>
      </c>
      <c r="C12" s="3" t="s">
        <v>37</v>
      </c>
      <c r="D12" s="3" t="s">
        <v>54</v>
      </c>
      <c r="E12" s="3" t="s">
        <v>55</v>
      </c>
      <c r="F12" s="3" t="s">
        <v>40</v>
      </c>
      <c r="G12" s="3">
        <v>44.0</v>
      </c>
      <c r="H12" s="3">
        <v>3056.0</v>
      </c>
      <c r="I12" s="3">
        <v>4.0</v>
      </c>
      <c r="J12" s="3">
        <v>3035.0</v>
      </c>
      <c r="K12" s="3">
        <v>3225.0</v>
      </c>
      <c r="L12" s="3">
        <v>107.0</v>
      </c>
      <c r="M12" s="3">
        <v>197.0</v>
      </c>
      <c r="N12" s="3">
        <v>69.0</v>
      </c>
      <c r="O12" s="3">
        <v>1845.0</v>
      </c>
      <c r="P12" s="3">
        <v>137.0</v>
      </c>
      <c r="Q12" s="3">
        <v>71.0</v>
      </c>
      <c r="R12" s="3">
        <v>14.0</v>
      </c>
      <c r="S12" s="3">
        <v>24.0</v>
      </c>
      <c r="T12" s="3">
        <v>246.0</v>
      </c>
      <c r="U12" s="3">
        <v>6.0</v>
      </c>
      <c r="V12" s="3">
        <v>13.0</v>
      </c>
      <c r="W12" s="3">
        <v>4.0</v>
      </c>
      <c r="X12" s="3">
        <v>10.0</v>
      </c>
      <c r="Y12" s="3">
        <v>2.0</v>
      </c>
      <c r="Z12" s="3">
        <v>3.0</v>
      </c>
      <c r="AA12" s="3" t="s">
        <v>43</v>
      </c>
      <c r="AB12" s="3">
        <v>3.0</v>
      </c>
      <c r="AC12" s="3">
        <v>5.0</v>
      </c>
      <c r="AD12" s="3">
        <v>3.0</v>
      </c>
      <c r="AE12" s="3">
        <v>4.0</v>
      </c>
      <c r="AF12" s="3">
        <v>0.0</v>
      </c>
      <c r="AG12" s="3">
        <v>1.0</v>
      </c>
      <c r="AH12" s="3">
        <v>2922.0</v>
      </c>
      <c r="AI12" s="3">
        <v>3150.0</v>
      </c>
      <c r="AJ12" s="3" t="str">
        <f t="array" ref="AJ12">IF(AA12="", "", XLOOKUP(AA12, 'Appendix B - Reason codes'!$A$4:$A$14, 'Appendix B - Reason codes'!$B$4:$B$14))</f>
        <v>Unhappy (with the team / programme)</v>
      </c>
    </row>
    <row r="13">
      <c r="A13" s="3" t="s">
        <v>36</v>
      </c>
      <c r="B13" s="3">
        <v>12.0</v>
      </c>
      <c r="C13" s="3" t="s">
        <v>37</v>
      </c>
      <c r="D13" s="3" t="s">
        <v>54</v>
      </c>
      <c r="E13" s="3" t="s">
        <v>56</v>
      </c>
      <c r="F13" s="3" t="s">
        <v>40</v>
      </c>
      <c r="G13" s="3">
        <v>5.0</v>
      </c>
      <c r="H13" s="3">
        <v>1760.0</v>
      </c>
      <c r="I13" s="3">
        <v>2.0</v>
      </c>
      <c r="J13" s="3">
        <v>1719.0</v>
      </c>
      <c r="K13" s="3">
        <v>1950.0</v>
      </c>
      <c r="L13" s="3">
        <v>38.0</v>
      </c>
      <c r="M13" s="3">
        <v>19.0</v>
      </c>
      <c r="N13" s="3">
        <v>46.0</v>
      </c>
      <c r="O13" s="3">
        <v>1175.0</v>
      </c>
      <c r="P13" s="3">
        <v>68.0</v>
      </c>
      <c r="Q13" s="3">
        <v>22.0</v>
      </c>
      <c r="R13" s="3">
        <v>24.0</v>
      </c>
      <c r="S13" s="3">
        <v>17.0</v>
      </c>
      <c r="T13" s="3">
        <v>131.0</v>
      </c>
      <c r="U13" s="3">
        <v>1.0</v>
      </c>
      <c r="V13" s="3">
        <v>2.0</v>
      </c>
      <c r="W13" s="3">
        <v>1.0</v>
      </c>
      <c r="X13" s="3">
        <v>1.0</v>
      </c>
      <c r="Y13" s="3">
        <v>0.0</v>
      </c>
      <c r="Z13" s="3">
        <v>1.0</v>
      </c>
      <c r="AA13" s="3" t="s">
        <v>41</v>
      </c>
      <c r="AB13" s="3">
        <v>2.0</v>
      </c>
      <c r="AC13" s="3">
        <v>3.0</v>
      </c>
      <c r="AD13" s="3">
        <v>2.0</v>
      </c>
      <c r="AE13" s="3">
        <v>3.0</v>
      </c>
      <c r="AF13" s="3">
        <v>0.0</v>
      </c>
      <c r="AG13" s="3">
        <v>0.0</v>
      </c>
      <c r="AH13" s="3">
        <v>1522.0</v>
      </c>
      <c r="AI13" s="3">
        <v>1650.0</v>
      </c>
      <c r="AJ13" s="3" t="str">
        <f t="array" ref="AJ13">IF(AA13="", "", XLOOKUP(AA13, 'Appendix B - Reason codes'!$A$4:$A$14, 'Appendix B - Reason codes'!$B$4:$B$14))</f>
        <v>Fatigue from many rounds</v>
      </c>
    </row>
    <row r="14">
      <c r="A14" s="3" t="s">
        <v>36</v>
      </c>
      <c r="B14" s="3">
        <v>13.0</v>
      </c>
      <c r="C14" s="3" t="s">
        <v>37</v>
      </c>
      <c r="D14" s="3" t="s">
        <v>54</v>
      </c>
      <c r="E14" s="3" t="s">
        <v>57</v>
      </c>
      <c r="F14" s="3" t="s">
        <v>40</v>
      </c>
      <c r="G14" s="3">
        <v>79.0</v>
      </c>
      <c r="H14" s="3">
        <v>38651.0</v>
      </c>
      <c r="I14" s="3">
        <v>59.0</v>
      </c>
      <c r="J14" s="3">
        <v>31889.0</v>
      </c>
      <c r="K14" s="3">
        <v>42413.0</v>
      </c>
      <c r="L14" s="3">
        <v>1148.0</v>
      </c>
      <c r="M14" s="3">
        <v>1094.0</v>
      </c>
      <c r="N14" s="3">
        <v>1353.0</v>
      </c>
      <c r="O14" s="3">
        <v>29292.0</v>
      </c>
      <c r="P14" s="3">
        <v>405.0</v>
      </c>
      <c r="Q14" s="3">
        <v>224.0</v>
      </c>
      <c r="R14" s="3">
        <v>327.0</v>
      </c>
      <c r="S14" s="3">
        <v>865.0</v>
      </c>
      <c r="T14" s="3">
        <v>1821.0</v>
      </c>
      <c r="U14" s="3">
        <v>31.0</v>
      </c>
      <c r="V14" s="3">
        <v>44.0</v>
      </c>
      <c r="W14" s="3">
        <v>21.0</v>
      </c>
      <c r="X14" s="3">
        <v>30.0</v>
      </c>
      <c r="Y14" s="3">
        <v>10.0</v>
      </c>
      <c r="Z14" s="3">
        <v>14.0</v>
      </c>
      <c r="AA14" s="3" t="s">
        <v>51</v>
      </c>
      <c r="AB14" s="3">
        <v>37.0</v>
      </c>
      <c r="AC14" s="3">
        <v>48.0</v>
      </c>
      <c r="AD14" s="3">
        <v>30.0</v>
      </c>
      <c r="AE14" s="3">
        <v>39.0</v>
      </c>
      <c r="AF14" s="3">
        <v>7.0</v>
      </c>
      <c r="AG14" s="3">
        <v>9.0</v>
      </c>
      <c r="AH14" s="3">
        <v>34824.0</v>
      </c>
      <c r="AI14" s="3">
        <v>37450.0</v>
      </c>
      <c r="AJ14" s="3" t="str">
        <f t="array" ref="AJ14">IF(AA14="", "", XLOOKUP(AA14, 'Appendix B - Reason codes'!$A$4:$A$14, 'Appendix B - Reason codes'!$B$4:$B$14))</f>
        <v>Religious belief</v>
      </c>
    </row>
    <row r="15">
      <c r="A15" s="3" t="s">
        <v>36</v>
      </c>
      <c r="B15" s="3">
        <v>14.0</v>
      </c>
      <c r="C15" s="3" t="s">
        <v>37</v>
      </c>
      <c r="D15" s="3" t="s">
        <v>54</v>
      </c>
      <c r="E15" s="3" t="s">
        <v>58</v>
      </c>
      <c r="F15" s="3" t="s">
        <v>40</v>
      </c>
      <c r="G15" s="3">
        <v>44.0</v>
      </c>
      <c r="H15" s="3">
        <v>8937.0</v>
      </c>
      <c r="I15" s="3">
        <v>13.0</v>
      </c>
      <c r="J15" s="3">
        <v>6670.0</v>
      </c>
      <c r="K15" s="3">
        <v>9876.0</v>
      </c>
      <c r="L15" s="3">
        <v>182.0</v>
      </c>
      <c r="M15" s="3">
        <v>150.0</v>
      </c>
      <c r="N15" s="3">
        <v>389.0</v>
      </c>
      <c r="O15" s="3">
        <v>5455.0</v>
      </c>
      <c r="P15" s="3">
        <v>351.0</v>
      </c>
      <c r="Q15" s="3">
        <v>129.0</v>
      </c>
      <c r="R15" s="3">
        <v>329.0</v>
      </c>
      <c r="S15" s="3">
        <v>252.0</v>
      </c>
      <c r="T15" s="3">
        <v>1061.0</v>
      </c>
      <c r="U15" s="3">
        <v>4.0</v>
      </c>
      <c r="V15" s="3">
        <v>9.0</v>
      </c>
      <c r="W15" s="3">
        <v>3.0</v>
      </c>
      <c r="X15" s="3">
        <v>7.0</v>
      </c>
      <c r="Y15" s="3">
        <v>1.0</v>
      </c>
      <c r="Z15" s="3">
        <v>2.0</v>
      </c>
      <c r="AA15" s="3" t="s">
        <v>59</v>
      </c>
      <c r="AB15" s="3">
        <v>15.0</v>
      </c>
      <c r="AC15" s="3">
        <v>27.0</v>
      </c>
      <c r="AD15" s="3">
        <v>13.0</v>
      </c>
      <c r="AE15" s="3">
        <v>23.0</v>
      </c>
      <c r="AF15" s="3">
        <v>2.0</v>
      </c>
      <c r="AG15" s="3">
        <v>4.0</v>
      </c>
      <c r="AH15" s="3">
        <v>8470.0</v>
      </c>
      <c r="AI15" s="3">
        <v>9300.0</v>
      </c>
      <c r="AJ15" s="3" t="str">
        <f t="array" ref="AJ15">IF(AA15="", "", XLOOKUP(AA15, 'Appendix B - Reason codes'!$A$4:$A$14, 'Appendix B - Reason codes'!$B$4:$B$14))</f>
        <v>Concerned about adverse effect</v>
      </c>
    </row>
    <row r="16">
      <c r="A16" s="3" t="s">
        <v>36</v>
      </c>
      <c r="B16" s="3">
        <v>15.0</v>
      </c>
      <c r="C16" s="3" t="s">
        <v>37</v>
      </c>
      <c r="D16" s="3" t="s">
        <v>54</v>
      </c>
      <c r="E16" s="3" t="s">
        <v>60</v>
      </c>
      <c r="F16" s="3" t="s">
        <v>40</v>
      </c>
      <c r="G16" s="3">
        <v>31.0</v>
      </c>
      <c r="H16" s="3">
        <v>2389.0</v>
      </c>
      <c r="I16" s="3">
        <v>3.0</v>
      </c>
      <c r="J16" s="3">
        <v>2101.0</v>
      </c>
      <c r="K16" s="3">
        <v>2610.0</v>
      </c>
      <c r="L16" s="3">
        <v>45.0</v>
      </c>
      <c r="M16" s="3">
        <v>188.0</v>
      </c>
      <c r="N16" s="3">
        <v>55.0</v>
      </c>
      <c r="O16" s="3">
        <v>1857.0</v>
      </c>
      <c r="P16" s="3">
        <v>24.0</v>
      </c>
      <c r="Q16" s="3">
        <v>19.0</v>
      </c>
      <c r="R16" s="3">
        <v>7.0</v>
      </c>
      <c r="S16" s="3">
        <v>55.0</v>
      </c>
      <c r="T16" s="3">
        <v>105.0</v>
      </c>
      <c r="U16" s="3">
        <v>1.0</v>
      </c>
      <c r="V16" s="3">
        <v>1.0</v>
      </c>
      <c r="W16" s="3">
        <v>1.0</v>
      </c>
      <c r="X16" s="3">
        <v>1.0</v>
      </c>
      <c r="Y16" s="3">
        <v>0.0</v>
      </c>
      <c r="Z16" s="3">
        <v>0.0</v>
      </c>
      <c r="AA16" s="3" t="s">
        <v>61</v>
      </c>
      <c r="AB16" s="3">
        <v>3.0</v>
      </c>
      <c r="AC16" s="3">
        <v>6.0</v>
      </c>
      <c r="AD16" s="3">
        <v>3.0</v>
      </c>
      <c r="AE16" s="3">
        <v>5.0</v>
      </c>
      <c r="AF16" s="3">
        <v>0.0</v>
      </c>
      <c r="AG16" s="3">
        <v>1.0</v>
      </c>
      <c r="AH16" s="3">
        <v>2207.0</v>
      </c>
      <c r="AI16" s="3">
        <v>2450.0</v>
      </c>
      <c r="AJ16" s="3" t="str">
        <f t="array" ref="AJ16">IF(AA16="", "", XLOOKUP(AA16, 'Appendix B - Reason codes'!$A$4:$A$14, 'Appendix B - Reason codes'!$B$4:$B$14))</f>
        <v>No reason given</v>
      </c>
    </row>
    <row r="17">
      <c r="A17" s="3" t="s">
        <v>36</v>
      </c>
      <c r="B17" s="3">
        <v>16.0</v>
      </c>
      <c r="C17" s="3" t="s">
        <v>37</v>
      </c>
      <c r="D17" s="3" t="s">
        <v>54</v>
      </c>
      <c r="E17" s="3" t="s">
        <v>62</v>
      </c>
      <c r="F17" s="3" t="s">
        <v>40</v>
      </c>
      <c r="G17" s="3">
        <v>54.0</v>
      </c>
      <c r="H17" s="3">
        <v>12350.0</v>
      </c>
      <c r="I17" s="3">
        <v>19.0</v>
      </c>
      <c r="J17" s="3">
        <v>10412.0</v>
      </c>
      <c r="K17" s="3">
        <v>13630.0</v>
      </c>
      <c r="L17" s="3">
        <v>252.0</v>
      </c>
      <c r="M17" s="3">
        <v>19.0</v>
      </c>
      <c r="N17" s="3">
        <v>31.0</v>
      </c>
      <c r="O17" s="3">
        <v>7250.0</v>
      </c>
      <c r="P17" s="3">
        <v>315.0</v>
      </c>
      <c r="Q17" s="3">
        <v>435.0</v>
      </c>
      <c r="R17" s="3">
        <v>522.0</v>
      </c>
      <c r="S17" s="3">
        <v>148.0</v>
      </c>
      <c r="T17" s="3">
        <v>1420.0</v>
      </c>
      <c r="U17" s="3">
        <v>6.0</v>
      </c>
      <c r="V17" s="3">
        <v>12.0</v>
      </c>
      <c r="W17" s="3">
        <v>4.0</v>
      </c>
      <c r="X17" s="3">
        <v>7.0</v>
      </c>
      <c r="Y17" s="3">
        <v>2.0</v>
      </c>
      <c r="Z17" s="3">
        <v>5.0</v>
      </c>
      <c r="AA17" s="3" t="s">
        <v>51</v>
      </c>
      <c r="AB17" s="3">
        <v>11.0</v>
      </c>
      <c r="AC17" s="3">
        <v>16.0</v>
      </c>
      <c r="AD17" s="3">
        <v>9.0</v>
      </c>
      <c r="AE17" s="3">
        <v>13.0</v>
      </c>
      <c r="AF17" s="3">
        <v>2.0</v>
      </c>
      <c r="AG17" s="3">
        <v>3.0</v>
      </c>
      <c r="AH17" s="3">
        <v>11067.0</v>
      </c>
      <c r="AI17" s="3">
        <v>12000.0</v>
      </c>
      <c r="AJ17" s="3" t="str">
        <f t="array" ref="AJ17">IF(AA17="", "", XLOOKUP(AA17, 'Appendix B - Reason codes'!$A$4:$A$14, 'Appendix B - Reason codes'!$B$4:$B$14))</f>
        <v>Religious belief</v>
      </c>
    </row>
    <row r="18">
      <c r="A18" s="3" t="s">
        <v>36</v>
      </c>
      <c r="B18" s="3">
        <v>17.0</v>
      </c>
      <c r="C18" s="3" t="s">
        <v>37</v>
      </c>
      <c r="D18" s="3" t="s">
        <v>54</v>
      </c>
      <c r="E18" s="3" t="s">
        <v>63</v>
      </c>
      <c r="F18" s="3" t="s">
        <v>40</v>
      </c>
      <c r="G18" s="3">
        <v>14.0</v>
      </c>
      <c r="H18" s="3">
        <v>4725.0</v>
      </c>
      <c r="I18" s="3">
        <v>7.0</v>
      </c>
      <c r="J18" s="3">
        <v>4384.0</v>
      </c>
      <c r="K18" s="3">
        <v>5251.0</v>
      </c>
      <c r="L18" s="3">
        <v>166.0</v>
      </c>
      <c r="M18" s="3">
        <v>303.0</v>
      </c>
      <c r="N18" s="3">
        <v>92.0</v>
      </c>
      <c r="O18" s="3">
        <v>3337.0</v>
      </c>
      <c r="P18" s="3">
        <v>24.0</v>
      </c>
      <c r="Q18" s="3">
        <v>158.0</v>
      </c>
      <c r="R18" s="3">
        <v>25.0</v>
      </c>
      <c r="S18" s="3">
        <v>22.0</v>
      </c>
      <c r="T18" s="3">
        <v>229.0</v>
      </c>
      <c r="U18" s="3">
        <v>6.0</v>
      </c>
      <c r="V18" s="3">
        <v>9.0</v>
      </c>
      <c r="W18" s="3">
        <v>5.0</v>
      </c>
      <c r="X18" s="3">
        <v>7.0</v>
      </c>
      <c r="Y18" s="3">
        <v>1.0</v>
      </c>
      <c r="Z18" s="3">
        <v>2.0</v>
      </c>
      <c r="AA18" s="3" t="s">
        <v>51</v>
      </c>
      <c r="AB18" s="3">
        <v>3.0</v>
      </c>
      <c r="AC18" s="3">
        <v>6.0</v>
      </c>
      <c r="AD18" s="3">
        <v>2.0</v>
      </c>
      <c r="AE18" s="3">
        <v>5.0</v>
      </c>
      <c r="AF18" s="3">
        <v>1.0</v>
      </c>
      <c r="AG18" s="3">
        <v>1.0</v>
      </c>
      <c r="AH18" s="3">
        <v>4506.0</v>
      </c>
      <c r="AI18" s="3">
        <v>4950.0</v>
      </c>
      <c r="AJ18" s="3" t="str">
        <f t="array" ref="AJ18">IF(AA18="", "", XLOOKUP(AA18, 'Appendix B - Reason codes'!$A$4:$A$14, 'Appendix B - Reason codes'!$B$4:$B$14))</f>
        <v>Religious belief</v>
      </c>
    </row>
    <row r="19">
      <c r="A19" s="3" t="s">
        <v>36</v>
      </c>
      <c r="B19" s="3">
        <v>18.0</v>
      </c>
      <c r="C19" s="3" t="s">
        <v>37</v>
      </c>
      <c r="D19" s="3" t="s">
        <v>64</v>
      </c>
      <c r="E19" s="3" t="s">
        <v>65</v>
      </c>
      <c r="F19" s="3" t="s">
        <v>40</v>
      </c>
      <c r="G19" s="3">
        <v>26.0</v>
      </c>
      <c r="H19" s="3">
        <v>2759.0</v>
      </c>
      <c r="I19" s="3">
        <v>4.0</v>
      </c>
      <c r="J19" s="3">
        <v>2030.0</v>
      </c>
      <c r="K19" s="3">
        <v>3003.0</v>
      </c>
      <c r="L19" s="3">
        <v>24.0</v>
      </c>
      <c r="M19" s="3">
        <v>48.0</v>
      </c>
      <c r="N19" s="3">
        <v>26.0</v>
      </c>
      <c r="O19" s="3">
        <v>1945.0</v>
      </c>
      <c r="P19" s="3">
        <v>21.0</v>
      </c>
      <c r="Q19" s="3">
        <v>88.0</v>
      </c>
      <c r="R19" s="3">
        <v>69.0</v>
      </c>
      <c r="S19" s="3">
        <v>39.0</v>
      </c>
      <c r="T19" s="3">
        <v>217.0</v>
      </c>
      <c r="U19" s="3">
        <v>1.0</v>
      </c>
      <c r="V19" s="3">
        <v>2.0</v>
      </c>
      <c r="W19" s="3">
        <v>1.0</v>
      </c>
      <c r="X19" s="3">
        <v>2.0</v>
      </c>
      <c r="Y19" s="3">
        <v>0.0</v>
      </c>
      <c r="Z19" s="3">
        <v>0.0</v>
      </c>
      <c r="AA19" s="3" t="s">
        <v>59</v>
      </c>
      <c r="AB19" s="3">
        <v>6.0</v>
      </c>
      <c r="AC19" s="3">
        <v>9.0</v>
      </c>
      <c r="AD19" s="3">
        <v>4.0</v>
      </c>
      <c r="AE19" s="3">
        <v>6.0</v>
      </c>
      <c r="AF19" s="3">
        <v>2.0</v>
      </c>
      <c r="AG19" s="3">
        <v>3.0</v>
      </c>
      <c r="AH19" s="3">
        <v>2483.0</v>
      </c>
      <c r="AI19" s="3">
        <v>2750.0</v>
      </c>
      <c r="AJ19" s="3" t="str">
        <f t="array" ref="AJ19">IF(AA19="", "", XLOOKUP(AA19, 'Appendix B - Reason codes'!$A$4:$A$14, 'Appendix B - Reason codes'!$B$4:$B$14))</f>
        <v>Concerned about adverse effect</v>
      </c>
    </row>
    <row r="20">
      <c r="A20" s="3" t="s">
        <v>36</v>
      </c>
      <c r="B20" s="3">
        <v>19.0</v>
      </c>
      <c r="C20" s="3" t="s">
        <v>37</v>
      </c>
      <c r="D20" s="3" t="s">
        <v>64</v>
      </c>
      <c r="E20" s="3" t="s">
        <v>66</v>
      </c>
      <c r="F20" s="3" t="s">
        <v>40</v>
      </c>
      <c r="G20" s="3">
        <v>6.0</v>
      </c>
      <c r="H20" s="3">
        <v>3883.0</v>
      </c>
      <c r="I20" s="3">
        <v>5.0</v>
      </c>
      <c r="J20" s="3">
        <v>3247.0</v>
      </c>
      <c r="K20" s="3">
        <v>4327.0</v>
      </c>
      <c r="L20" s="3">
        <v>51.0</v>
      </c>
      <c r="M20" s="3">
        <v>49.0</v>
      </c>
      <c r="N20" s="3">
        <v>94.0</v>
      </c>
      <c r="O20" s="3">
        <v>2645.0</v>
      </c>
      <c r="P20" s="3">
        <v>80.0</v>
      </c>
      <c r="Q20" s="3">
        <v>91.0</v>
      </c>
      <c r="R20" s="3">
        <v>159.0</v>
      </c>
      <c r="S20" s="3">
        <v>7.0</v>
      </c>
      <c r="T20" s="3">
        <v>337.0</v>
      </c>
      <c r="U20" s="3">
        <v>3.0</v>
      </c>
      <c r="V20" s="3">
        <v>6.0</v>
      </c>
      <c r="W20" s="3">
        <v>2.0</v>
      </c>
      <c r="X20" s="3">
        <v>4.0</v>
      </c>
      <c r="Y20" s="3">
        <v>1.0</v>
      </c>
      <c r="Z20" s="3">
        <v>2.0</v>
      </c>
      <c r="AA20" s="3" t="s">
        <v>41</v>
      </c>
      <c r="AB20" s="3">
        <v>2.0</v>
      </c>
      <c r="AC20" s="3">
        <v>3.0</v>
      </c>
      <c r="AD20" s="3">
        <v>2.0</v>
      </c>
      <c r="AE20" s="3">
        <v>3.0</v>
      </c>
      <c r="AF20" s="3">
        <v>0.0</v>
      </c>
      <c r="AG20" s="3">
        <v>0.0</v>
      </c>
      <c r="AH20" s="3">
        <v>3244.0</v>
      </c>
      <c r="AI20" s="3">
        <v>3600.0</v>
      </c>
      <c r="AJ20" s="3" t="str">
        <f t="array" ref="AJ20">IF(AA20="", "", XLOOKUP(AA20, 'Appendix B - Reason codes'!$A$4:$A$14, 'Appendix B - Reason codes'!$B$4:$B$14))</f>
        <v>Fatigue from many rounds</v>
      </c>
    </row>
    <row r="21" ht="15.75" customHeight="1">
      <c r="A21" s="3" t="s">
        <v>36</v>
      </c>
      <c r="B21" s="3">
        <v>20.0</v>
      </c>
      <c r="C21" s="3" t="s">
        <v>37</v>
      </c>
      <c r="D21" s="3" t="s">
        <v>64</v>
      </c>
      <c r="E21" s="3" t="s">
        <v>67</v>
      </c>
      <c r="F21" s="3" t="s">
        <v>40</v>
      </c>
      <c r="G21" s="3">
        <v>27.0</v>
      </c>
      <c r="H21" s="3">
        <v>1266.0</v>
      </c>
      <c r="I21" s="3">
        <v>1.0</v>
      </c>
      <c r="J21" s="3">
        <v>1062.0</v>
      </c>
      <c r="K21" s="3">
        <v>1361.0</v>
      </c>
      <c r="L21" s="3">
        <v>12.0</v>
      </c>
      <c r="M21" s="3">
        <v>66.0</v>
      </c>
      <c r="N21" s="3">
        <v>18.0</v>
      </c>
      <c r="O21" s="3">
        <v>703.0</v>
      </c>
      <c r="P21" s="3">
        <v>27.0</v>
      </c>
      <c r="Q21" s="3">
        <v>8.0</v>
      </c>
      <c r="R21" s="3">
        <v>41.0</v>
      </c>
      <c r="S21" s="3">
        <v>25.0</v>
      </c>
      <c r="T21" s="3">
        <v>101.0</v>
      </c>
      <c r="U21" s="3">
        <v>2.0</v>
      </c>
      <c r="V21" s="3">
        <v>3.0</v>
      </c>
      <c r="W21" s="3">
        <v>2.0</v>
      </c>
      <c r="X21" s="3">
        <v>2.0</v>
      </c>
      <c r="Y21" s="3">
        <v>0.0</v>
      </c>
      <c r="Z21" s="3">
        <v>1.0</v>
      </c>
      <c r="AA21" s="3" t="s">
        <v>61</v>
      </c>
      <c r="AB21" s="3">
        <v>1.0</v>
      </c>
      <c r="AC21" s="3">
        <v>2.0</v>
      </c>
      <c r="AD21" s="3">
        <v>1.0</v>
      </c>
      <c r="AE21" s="3">
        <v>2.0</v>
      </c>
      <c r="AF21" s="3">
        <v>0.0</v>
      </c>
      <c r="AG21" s="3">
        <v>0.0</v>
      </c>
      <c r="AH21" s="3">
        <v>1102.0</v>
      </c>
      <c r="AI21" s="3">
        <v>1250.0</v>
      </c>
      <c r="AJ21" s="3" t="str">
        <f t="array" ref="AJ21">IF(AA21="", "", XLOOKUP(AA21, 'Appendix B - Reason codes'!$A$4:$A$14, 'Appendix B - Reason codes'!$B$4:$B$14))</f>
        <v>No reason given</v>
      </c>
    </row>
    <row r="22" ht="15.75" customHeight="1">
      <c r="A22" s="3" t="s">
        <v>36</v>
      </c>
      <c r="B22" s="3">
        <v>21.0</v>
      </c>
      <c r="C22" s="3" t="s">
        <v>37</v>
      </c>
      <c r="D22" s="3" t="s">
        <v>64</v>
      </c>
      <c r="E22" s="3" t="s">
        <v>68</v>
      </c>
      <c r="F22" s="3" t="s">
        <v>40</v>
      </c>
      <c r="G22" s="3">
        <v>12.0</v>
      </c>
      <c r="H22" s="3">
        <v>440.0</v>
      </c>
      <c r="I22" s="3">
        <v>1.0</v>
      </c>
      <c r="J22" s="3">
        <v>369.0</v>
      </c>
      <c r="K22" s="3">
        <v>460.0</v>
      </c>
      <c r="L22" s="3">
        <v>11.0</v>
      </c>
      <c r="M22" s="3">
        <v>14.0</v>
      </c>
      <c r="N22" s="3">
        <v>0.0</v>
      </c>
      <c r="O22" s="3">
        <v>329.0</v>
      </c>
      <c r="P22" s="3">
        <v>2.0</v>
      </c>
      <c r="Q22" s="3">
        <v>5.0</v>
      </c>
      <c r="R22" s="3">
        <v>0.0</v>
      </c>
      <c r="S22" s="3">
        <v>10.0</v>
      </c>
      <c r="T22" s="3">
        <v>17.0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/>
      <c r="AB22" s="3">
        <v>1.0</v>
      </c>
      <c r="AC22" s="3">
        <v>2.0</v>
      </c>
      <c r="AD22" s="3">
        <v>1.0</v>
      </c>
      <c r="AE22" s="3">
        <v>2.0</v>
      </c>
      <c r="AF22" s="3">
        <v>0.0</v>
      </c>
      <c r="AG22" s="3">
        <v>0.0</v>
      </c>
      <c r="AH22" s="3">
        <v>416.0</v>
      </c>
      <c r="AI22" s="3">
        <v>500.0</v>
      </c>
      <c r="AJ22" s="3" t="str">
        <f t="array" ref="AJ22">IF(AA22="", "", XLOOKUP(AA22, 'Appendix B - Reason codes'!$A$4:$A$14, 'Appendix B - Reason codes'!$B$4:$B$14))</f>
        <v/>
      </c>
    </row>
    <row r="23" ht="15.75" customHeight="1">
      <c r="A23" s="3" t="s">
        <v>36</v>
      </c>
      <c r="B23" s="3">
        <v>22.0</v>
      </c>
      <c r="C23" s="3" t="s">
        <v>37</v>
      </c>
      <c r="D23" s="3" t="s">
        <v>64</v>
      </c>
      <c r="E23" s="3" t="s">
        <v>69</v>
      </c>
      <c r="F23" s="3" t="s">
        <v>40</v>
      </c>
      <c r="G23" s="3">
        <v>37.0</v>
      </c>
      <c r="H23" s="3">
        <v>6232.0</v>
      </c>
      <c r="I23" s="3">
        <v>9.0</v>
      </c>
      <c r="J23" s="3">
        <v>4393.0</v>
      </c>
      <c r="K23" s="3">
        <v>6519.0</v>
      </c>
      <c r="L23" s="3">
        <v>111.0</v>
      </c>
      <c r="M23" s="3">
        <v>536.0</v>
      </c>
      <c r="N23" s="3">
        <v>144.0</v>
      </c>
      <c r="O23" s="3">
        <v>4696.0</v>
      </c>
      <c r="P23" s="3">
        <v>201.0</v>
      </c>
      <c r="Q23" s="3">
        <v>213.0</v>
      </c>
      <c r="R23" s="3">
        <v>134.0</v>
      </c>
      <c r="S23" s="3">
        <v>153.0</v>
      </c>
      <c r="T23" s="3">
        <v>701.0</v>
      </c>
      <c r="U23" s="3">
        <v>5.0</v>
      </c>
      <c r="V23" s="3">
        <v>8.0</v>
      </c>
      <c r="W23" s="3">
        <v>4.0</v>
      </c>
      <c r="X23" s="3">
        <v>6.0</v>
      </c>
      <c r="Y23" s="3">
        <v>1.0</v>
      </c>
      <c r="Z23" s="3">
        <v>2.0</v>
      </c>
      <c r="AA23" s="3" t="s">
        <v>61</v>
      </c>
      <c r="AB23" s="3">
        <v>6.0</v>
      </c>
      <c r="AC23" s="3">
        <v>12.0</v>
      </c>
      <c r="AD23" s="3">
        <v>5.0</v>
      </c>
      <c r="AE23" s="3">
        <v>11.0</v>
      </c>
      <c r="AF23" s="3">
        <v>1.0</v>
      </c>
      <c r="AG23" s="3">
        <v>1.0</v>
      </c>
      <c r="AH23" s="3">
        <v>6163.0</v>
      </c>
      <c r="AI23" s="3">
        <v>6850.0</v>
      </c>
      <c r="AJ23" s="3" t="str">
        <f t="array" ref="AJ23">IF(AA23="", "", XLOOKUP(AA23, 'Appendix B - Reason codes'!$A$4:$A$14, 'Appendix B - Reason codes'!$B$4:$B$14))</f>
        <v>No reason given</v>
      </c>
    </row>
    <row r="24" ht="15.75" customHeight="1">
      <c r="A24" s="3" t="s">
        <v>36</v>
      </c>
      <c r="B24" s="3">
        <v>23.0</v>
      </c>
      <c r="C24" s="3" t="s">
        <v>37</v>
      </c>
      <c r="D24" s="3" t="s">
        <v>64</v>
      </c>
      <c r="E24" s="3" t="s">
        <v>70</v>
      </c>
      <c r="F24" s="3" t="s">
        <v>40</v>
      </c>
      <c r="G24" s="3">
        <v>32.0</v>
      </c>
      <c r="H24" s="3">
        <v>5958.0</v>
      </c>
      <c r="I24" s="3">
        <v>9.0</v>
      </c>
      <c r="J24" s="3">
        <v>5054.0</v>
      </c>
      <c r="K24" s="3">
        <v>6155.0</v>
      </c>
      <c r="L24" s="3">
        <v>9.0</v>
      </c>
      <c r="M24" s="3">
        <v>489.0</v>
      </c>
      <c r="N24" s="3">
        <v>61.0</v>
      </c>
      <c r="O24" s="3">
        <v>4718.0</v>
      </c>
      <c r="P24" s="3">
        <v>13.0</v>
      </c>
      <c r="Q24" s="3">
        <v>190.0</v>
      </c>
      <c r="R24" s="3">
        <v>0.0</v>
      </c>
      <c r="S24" s="3">
        <v>43.0</v>
      </c>
      <c r="T24" s="3">
        <v>246.0</v>
      </c>
      <c r="U24" s="3">
        <v>3.0</v>
      </c>
      <c r="V24" s="3">
        <v>6.0</v>
      </c>
      <c r="W24" s="3">
        <v>2.0</v>
      </c>
      <c r="X24" s="3">
        <v>5.0</v>
      </c>
      <c r="Y24" s="3">
        <v>1.0</v>
      </c>
      <c r="Z24" s="3">
        <v>1.0</v>
      </c>
      <c r="AA24" s="3" t="s">
        <v>46</v>
      </c>
      <c r="AB24" s="3">
        <v>9.0</v>
      </c>
      <c r="AC24" s="3">
        <v>18.0</v>
      </c>
      <c r="AD24" s="3">
        <v>8.0</v>
      </c>
      <c r="AE24" s="3">
        <v>17.0</v>
      </c>
      <c r="AF24" s="3">
        <v>1.0</v>
      </c>
      <c r="AG24" s="3">
        <v>1.0</v>
      </c>
      <c r="AH24" s="3">
        <v>5653.0</v>
      </c>
      <c r="AI24" s="3">
        <v>6250.0</v>
      </c>
      <c r="AJ24" s="3" t="str">
        <f t="array" ref="AJ24">IF(AA24="", "", XLOOKUP(AA24, 'Appendix B - Reason codes'!$A$4:$A$14, 'Appendix B - Reason codes'!$B$4:$B$14))</f>
        <v>Father didn’t allow</v>
      </c>
    </row>
    <row r="25" ht="15.75" customHeight="1">
      <c r="A25" s="3" t="s">
        <v>36</v>
      </c>
      <c r="B25" s="3">
        <v>24.0</v>
      </c>
      <c r="C25" s="3" t="s">
        <v>37</v>
      </c>
      <c r="D25" s="3" t="s">
        <v>64</v>
      </c>
      <c r="E25" s="3" t="s">
        <v>71</v>
      </c>
      <c r="F25" s="3" t="s">
        <v>40</v>
      </c>
      <c r="G25" s="3">
        <v>50.0</v>
      </c>
      <c r="H25" s="3">
        <v>8347.0</v>
      </c>
      <c r="I25" s="3">
        <v>12.0</v>
      </c>
      <c r="J25" s="3">
        <v>7314.0</v>
      </c>
      <c r="K25" s="3">
        <v>9276.0</v>
      </c>
      <c r="L25" s="3">
        <v>219.0</v>
      </c>
      <c r="M25" s="3">
        <v>11.0</v>
      </c>
      <c r="N25" s="3">
        <v>306.0</v>
      </c>
      <c r="O25" s="3">
        <v>4992.0</v>
      </c>
      <c r="P25" s="3">
        <v>251.0</v>
      </c>
      <c r="Q25" s="3">
        <v>128.0</v>
      </c>
      <c r="R25" s="3">
        <v>78.0</v>
      </c>
      <c r="S25" s="3">
        <v>149.0</v>
      </c>
      <c r="T25" s="3">
        <v>606.0</v>
      </c>
      <c r="U25" s="3">
        <v>8.0</v>
      </c>
      <c r="V25" s="3">
        <v>13.0</v>
      </c>
      <c r="W25" s="3">
        <v>6.0</v>
      </c>
      <c r="X25" s="3">
        <v>9.0</v>
      </c>
      <c r="Y25" s="3">
        <v>2.0</v>
      </c>
      <c r="Z25" s="3">
        <v>4.0</v>
      </c>
      <c r="AA25" s="3" t="s">
        <v>59</v>
      </c>
      <c r="AB25" s="3">
        <v>9.0</v>
      </c>
      <c r="AC25" s="3">
        <v>14.0</v>
      </c>
      <c r="AD25" s="3">
        <v>7.0</v>
      </c>
      <c r="AE25" s="3">
        <v>12.0</v>
      </c>
      <c r="AF25" s="3">
        <v>2.0</v>
      </c>
      <c r="AG25" s="3">
        <v>2.0</v>
      </c>
      <c r="AH25" s="3">
        <v>7247.0</v>
      </c>
      <c r="AI25" s="3">
        <v>7900.0</v>
      </c>
      <c r="AJ25" s="3" t="str">
        <f t="array" ref="AJ25">IF(AA25="", "", XLOOKUP(AA25, 'Appendix B - Reason codes'!$A$4:$A$14, 'Appendix B - Reason codes'!$B$4:$B$14))</f>
        <v>Concerned about adverse effect</v>
      </c>
    </row>
    <row r="26" ht="15.75" customHeight="1">
      <c r="A26" s="3" t="s">
        <v>36</v>
      </c>
      <c r="B26" s="3">
        <v>25.0</v>
      </c>
      <c r="C26" s="3" t="s">
        <v>37</v>
      </c>
      <c r="D26" s="3" t="s">
        <v>64</v>
      </c>
      <c r="E26" s="3" t="s">
        <v>72</v>
      </c>
      <c r="F26" s="3" t="s">
        <v>40</v>
      </c>
      <c r="G26" s="3">
        <v>32.0</v>
      </c>
      <c r="H26" s="3">
        <v>1329.0</v>
      </c>
      <c r="I26" s="3">
        <v>2.0</v>
      </c>
      <c r="J26" s="3">
        <v>1116.0</v>
      </c>
      <c r="K26" s="3">
        <v>1477.0</v>
      </c>
      <c r="L26" s="3">
        <v>3.0</v>
      </c>
      <c r="M26" s="3">
        <v>85.0</v>
      </c>
      <c r="N26" s="3">
        <v>19.0</v>
      </c>
      <c r="O26" s="3">
        <v>935.0</v>
      </c>
      <c r="P26" s="3">
        <v>23.0</v>
      </c>
      <c r="Q26" s="3">
        <v>39.0</v>
      </c>
      <c r="R26" s="3">
        <v>55.0</v>
      </c>
      <c r="S26" s="3">
        <v>14.0</v>
      </c>
      <c r="T26" s="3">
        <v>131.0</v>
      </c>
      <c r="U26" s="3">
        <v>2.0</v>
      </c>
      <c r="V26" s="3">
        <v>3.0</v>
      </c>
      <c r="W26" s="3">
        <v>1.0</v>
      </c>
      <c r="X26" s="3">
        <v>2.0</v>
      </c>
      <c r="Y26" s="3">
        <v>1.0</v>
      </c>
      <c r="Z26" s="3">
        <v>1.0</v>
      </c>
      <c r="AA26" s="3" t="s">
        <v>73</v>
      </c>
      <c r="AB26" s="3">
        <v>2.0</v>
      </c>
      <c r="AC26" s="3">
        <v>3.0</v>
      </c>
      <c r="AD26" s="3">
        <v>2.0</v>
      </c>
      <c r="AE26" s="3">
        <v>3.0</v>
      </c>
      <c r="AF26" s="3">
        <v>0.0</v>
      </c>
      <c r="AG26" s="3">
        <v>0.0</v>
      </c>
      <c r="AH26" s="3">
        <v>1253.0</v>
      </c>
      <c r="AI26" s="3">
        <v>1350.0</v>
      </c>
      <c r="AJ26" s="3" t="str">
        <f t="array" ref="AJ26">IF(AA26="", "", XLOOKUP(AA26, 'Appendix B - Reason codes'!$A$4:$A$14, 'Appendix B - Reason codes'!$B$4:$B$14))</f>
        <v>Has an alternative to the vaccine</v>
      </c>
    </row>
    <row r="27" ht="15.75" customHeight="1">
      <c r="A27" s="3" t="s">
        <v>36</v>
      </c>
      <c r="B27" s="3">
        <v>26.0</v>
      </c>
      <c r="C27" s="3" t="s">
        <v>37</v>
      </c>
      <c r="D27" s="3" t="s">
        <v>64</v>
      </c>
      <c r="E27" s="3" t="s">
        <v>74</v>
      </c>
      <c r="F27" s="3" t="s">
        <v>40</v>
      </c>
      <c r="G27" s="3">
        <v>23.0</v>
      </c>
      <c r="H27" s="3">
        <v>6039.0</v>
      </c>
      <c r="I27" s="3">
        <v>9.0</v>
      </c>
      <c r="J27" s="3">
        <v>5483.0</v>
      </c>
      <c r="K27" s="3">
        <v>6506.0</v>
      </c>
      <c r="L27" s="3">
        <v>124.0</v>
      </c>
      <c r="M27" s="3">
        <v>476.0</v>
      </c>
      <c r="N27" s="3">
        <v>25.0</v>
      </c>
      <c r="O27" s="3">
        <v>2859.0</v>
      </c>
      <c r="P27" s="3">
        <v>161.0</v>
      </c>
      <c r="Q27" s="3">
        <v>200.0</v>
      </c>
      <c r="R27" s="3">
        <v>165.0</v>
      </c>
      <c r="S27" s="3">
        <v>12.0</v>
      </c>
      <c r="T27" s="3">
        <v>538.0</v>
      </c>
      <c r="U27" s="3">
        <v>6.0</v>
      </c>
      <c r="V27" s="3">
        <v>11.0</v>
      </c>
      <c r="W27" s="3">
        <v>4.0</v>
      </c>
      <c r="X27" s="3">
        <v>8.0</v>
      </c>
      <c r="Y27" s="3">
        <v>2.0</v>
      </c>
      <c r="Z27" s="3">
        <v>3.0</v>
      </c>
      <c r="AA27" s="3" t="s">
        <v>51</v>
      </c>
      <c r="AB27" s="3">
        <v>8.0</v>
      </c>
      <c r="AC27" s="3">
        <v>16.0</v>
      </c>
      <c r="AD27" s="3">
        <v>7.0</v>
      </c>
      <c r="AE27" s="3">
        <v>14.0</v>
      </c>
      <c r="AF27" s="3">
        <v>1.0</v>
      </c>
      <c r="AG27" s="3">
        <v>2.0</v>
      </c>
      <c r="AH27" s="3">
        <v>5112.0</v>
      </c>
      <c r="AI27" s="3">
        <v>5550.0</v>
      </c>
      <c r="AJ27" s="3" t="str">
        <f t="array" ref="AJ27">IF(AA27="", "", XLOOKUP(AA27, 'Appendix B - Reason codes'!$A$4:$A$14, 'Appendix B - Reason codes'!$B$4:$B$14))</f>
        <v>Religious belief</v>
      </c>
    </row>
    <row r="28" ht="15.75" customHeight="1">
      <c r="A28" s="3" t="s">
        <v>36</v>
      </c>
      <c r="B28" s="3">
        <v>27.0</v>
      </c>
      <c r="C28" s="3" t="s">
        <v>37</v>
      </c>
      <c r="D28" s="3" t="s">
        <v>75</v>
      </c>
      <c r="E28" s="3" t="s">
        <v>76</v>
      </c>
      <c r="F28" s="3" t="s">
        <v>40</v>
      </c>
      <c r="G28" s="3">
        <v>33.0</v>
      </c>
      <c r="H28" s="3">
        <v>7026.0</v>
      </c>
      <c r="I28" s="3">
        <v>10.0</v>
      </c>
      <c r="J28" s="3">
        <v>5456.0</v>
      </c>
      <c r="K28" s="3">
        <v>7742.0</v>
      </c>
      <c r="L28" s="3">
        <v>14.0</v>
      </c>
      <c r="M28" s="3">
        <v>345.0</v>
      </c>
      <c r="N28" s="3">
        <v>212.0</v>
      </c>
      <c r="O28" s="3">
        <v>6318.0</v>
      </c>
      <c r="P28" s="3">
        <v>296.0</v>
      </c>
      <c r="Q28" s="3">
        <v>89.0</v>
      </c>
      <c r="R28" s="3">
        <v>185.0</v>
      </c>
      <c r="S28" s="3">
        <v>174.0</v>
      </c>
      <c r="T28" s="3">
        <v>744.0</v>
      </c>
      <c r="U28" s="3">
        <v>5.0</v>
      </c>
      <c r="V28" s="3">
        <v>10.0</v>
      </c>
      <c r="W28" s="3">
        <v>3.0</v>
      </c>
      <c r="X28" s="3">
        <v>6.0</v>
      </c>
      <c r="Y28" s="3">
        <v>2.0</v>
      </c>
      <c r="Z28" s="3">
        <v>4.0</v>
      </c>
      <c r="AA28" s="3" t="s">
        <v>59</v>
      </c>
      <c r="AB28" s="3">
        <v>6.0</v>
      </c>
      <c r="AC28" s="3">
        <v>8.0</v>
      </c>
      <c r="AD28" s="3">
        <v>5.0</v>
      </c>
      <c r="AE28" s="3">
        <v>7.0</v>
      </c>
      <c r="AF28" s="3">
        <v>1.0</v>
      </c>
      <c r="AG28" s="3">
        <v>1.0</v>
      </c>
      <c r="AH28" s="3">
        <v>7448.0</v>
      </c>
      <c r="AI28" s="3">
        <v>8500.0</v>
      </c>
      <c r="AJ28" s="3" t="str">
        <f t="array" ref="AJ28">IF(AA28="", "", XLOOKUP(AA28, 'Appendix B - Reason codes'!$A$4:$A$14, 'Appendix B - Reason codes'!$B$4:$B$14))</f>
        <v>Concerned about adverse effect</v>
      </c>
    </row>
    <row r="29" ht="15.75" customHeight="1">
      <c r="A29" s="3" t="s">
        <v>36</v>
      </c>
      <c r="B29" s="3">
        <v>28.0</v>
      </c>
      <c r="C29" s="3" t="s">
        <v>37</v>
      </c>
      <c r="D29" s="3" t="s">
        <v>75</v>
      </c>
      <c r="E29" s="3" t="s">
        <v>77</v>
      </c>
      <c r="F29" s="3" t="s">
        <v>40</v>
      </c>
      <c r="G29" s="3">
        <v>45.0</v>
      </c>
      <c r="H29" s="3">
        <v>11881.0</v>
      </c>
      <c r="I29" s="3">
        <v>18.0</v>
      </c>
      <c r="J29" s="3">
        <v>11523.0</v>
      </c>
      <c r="K29" s="3">
        <v>13062.0</v>
      </c>
      <c r="L29" s="3">
        <v>411.0</v>
      </c>
      <c r="M29" s="3">
        <v>308.0</v>
      </c>
      <c r="N29" s="3">
        <v>334.0</v>
      </c>
      <c r="O29" s="3">
        <v>9654.0</v>
      </c>
      <c r="P29" s="3">
        <v>180.0</v>
      </c>
      <c r="Q29" s="3">
        <v>271.0</v>
      </c>
      <c r="R29" s="3">
        <v>153.0</v>
      </c>
      <c r="S29" s="3">
        <v>16.0</v>
      </c>
      <c r="T29" s="3">
        <v>620.0</v>
      </c>
      <c r="U29" s="3">
        <v>14.0</v>
      </c>
      <c r="V29" s="3">
        <v>29.0</v>
      </c>
      <c r="W29" s="3">
        <v>10.0</v>
      </c>
      <c r="X29" s="3">
        <v>21.0</v>
      </c>
      <c r="Y29" s="3">
        <v>4.0</v>
      </c>
      <c r="Z29" s="3">
        <v>8.0</v>
      </c>
      <c r="AA29" s="3" t="s">
        <v>78</v>
      </c>
      <c r="AB29" s="3">
        <v>12.0</v>
      </c>
      <c r="AC29" s="3">
        <v>22.0</v>
      </c>
      <c r="AD29" s="3">
        <v>11.0</v>
      </c>
      <c r="AE29" s="3">
        <v>20.0</v>
      </c>
      <c r="AF29" s="3">
        <v>1.0</v>
      </c>
      <c r="AG29" s="3">
        <v>2.0</v>
      </c>
      <c r="AH29" s="3">
        <v>11849.0</v>
      </c>
      <c r="AI29" s="3">
        <v>13100.0</v>
      </c>
      <c r="AJ29" s="3" t="str">
        <f t="array" ref="AJ29">IF(AA29="", "", XLOOKUP(AA29, 'Appendix B - Reason codes'!$A$4:$A$14, 'Appendix B - Reason codes'!$B$4:$B$14))</f>
        <v>Child sick</v>
      </c>
    </row>
    <row r="30" ht="15.75" customHeight="1">
      <c r="A30" s="3" t="s">
        <v>36</v>
      </c>
      <c r="B30" s="3">
        <v>29.0</v>
      </c>
      <c r="C30" s="3" t="s">
        <v>37</v>
      </c>
      <c r="D30" s="3" t="s">
        <v>75</v>
      </c>
      <c r="E30" s="3" t="s">
        <v>79</v>
      </c>
      <c r="F30" s="3" t="s">
        <v>40</v>
      </c>
      <c r="G30" s="3">
        <v>2.0</v>
      </c>
      <c r="H30" s="3">
        <v>2052.0</v>
      </c>
      <c r="I30" s="3">
        <v>3.0</v>
      </c>
      <c r="J30" s="3">
        <v>2021.0</v>
      </c>
      <c r="K30" s="3">
        <v>2273.0</v>
      </c>
      <c r="L30" s="3">
        <v>41.0</v>
      </c>
      <c r="M30" s="3">
        <v>43.0</v>
      </c>
      <c r="N30" s="3">
        <v>94.0</v>
      </c>
      <c r="O30" s="3">
        <v>1165.0</v>
      </c>
      <c r="P30" s="3">
        <v>19.0</v>
      </c>
      <c r="Q30" s="3">
        <v>59.0</v>
      </c>
      <c r="R30" s="3">
        <v>95.0</v>
      </c>
      <c r="S30" s="3">
        <v>34.0</v>
      </c>
      <c r="T30" s="3">
        <v>207.0</v>
      </c>
      <c r="U30" s="3">
        <v>3.0</v>
      </c>
      <c r="V30" s="3">
        <v>5.0</v>
      </c>
      <c r="W30" s="3">
        <v>2.0</v>
      </c>
      <c r="X30" s="3">
        <v>4.0</v>
      </c>
      <c r="Y30" s="3">
        <v>1.0</v>
      </c>
      <c r="Z30" s="3">
        <v>1.0</v>
      </c>
      <c r="AA30" s="3" t="s">
        <v>41</v>
      </c>
      <c r="AB30" s="3">
        <v>2.0</v>
      </c>
      <c r="AC30" s="3">
        <v>4.0</v>
      </c>
      <c r="AD30" s="3">
        <v>1.0</v>
      </c>
      <c r="AE30" s="3">
        <v>3.0</v>
      </c>
      <c r="AF30" s="3">
        <v>1.0</v>
      </c>
      <c r="AG30" s="3">
        <v>1.0</v>
      </c>
      <c r="AH30" s="3">
        <v>1987.0</v>
      </c>
      <c r="AI30" s="3">
        <v>2250.0</v>
      </c>
      <c r="AJ30" s="3" t="str">
        <f t="array" ref="AJ30">IF(AA30="", "", XLOOKUP(AA30, 'Appendix B - Reason codes'!$A$4:$A$14, 'Appendix B - Reason codes'!$B$4:$B$14))</f>
        <v>Fatigue from many rounds</v>
      </c>
    </row>
    <row r="31" ht="15.75" customHeight="1">
      <c r="A31" s="3" t="s">
        <v>36</v>
      </c>
      <c r="B31" s="3">
        <v>30.0</v>
      </c>
      <c r="C31" s="3" t="s">
        <v>37</v>
      </c>
      <c r="D31" s="3" t="s">
        <v>75</v>
      </c>
      <c r="E31" s="3" t="s">
        <v>80</v>
      </c>
      <c r="F31" s="3" t="s">
        <v>40</v>
      </c>
      <c r="G31" s="3">
        <v>24.0</v>
      </c>
      <c r="H31" s="3">
        <v>8339.0</v>
      </c>
      <c r="I31" s="3">
        <v>12.0</v>
      </c>
      <c r="J31" s="3">
        <v>6838.0</v>
      </c>
      <c r="K31" s="3">
        <v>9108.0</v>
      </c>
      <c r="L31" s="3">
        <v>126.0</v>
      </c>
      <c r="M31" s="3">
        <v>86.0</v>
      </c>
      <c r="N31" s="3">
        <v>369.0</v>
      </c>
      <c r="O31" s="3">
        <v>6533.0</v>
      </c>
      <c r="P31" s="3">
        <v>276.0</v>
      </c>
      <c r="Q31" s="3">
        <v>148.0</v>
      </c>
      <c r="R31" s="3">
        <v>138.0</v>
      </c>
      <c r="S31" s="3">
        <v>18.0</v>
      </c>
      <c r="T31" s="3">
        <v>580.0</v>
      </c>
      <c r="U31" s="3">
        <v>5.0</v>
      </c>
      <c r="V31" s="3">
        <v>10.0</v>
      </c>
      <c r="W31" s="3">
        <v>3.0</v>
      </c>
      <c r="X31" s="3">
        <v>6.0</v>
      </c>
      <c r="Y31" s="3">
        <v>2.0</v>
      </c>
      <c r="Z31" s="3">
        <v>4.0</v>
      </c>
      <c r="AA31" s="3" t="s">
        <v>46</v>
      </c>
      <c r="AB31" s="3">
        <v>8.0</v>
      </c>
      <c r="AC31" s="3">
        <v>15.0</v>
      </c>
      <c r="AD31" s="3">
        <v>7.0</v>
      </c>
      <c r="AE31" s="3">
        <v>14.0</v>
      </c>
      <c r="AF31" s="3">
        <v>1.0</v>
      </c>
      <c r="AG31" s="3">
        <v>1.0</v>
      </c>
      <c r="AH31" s="3">
        <v>8314.0</v>
      </c>
      <c r="AI31" s="3">
        <v>9200.0</v>
      </c>
      <c r="AJ31" s="3" t="str">
        <f t="array" ref="AJ31">IF(AA31="", "", XLOOKUP(AA31, 'Appendix B - Reason codes'!$A$4:$A$14, 'Appendix B - Reason codes'!$B$4:$B$14))</f>
        <v>Father didn’t allow</v>
      </c>
    </row>
    <row r="32" ht="15.75" customHeight="1">
      <c r="A32" s="3" t="s">
        <v>36</v>
      </c>
      <c r="B32" s="3">
        <v>31.0</v>
      </c>
      <c r="C32" s="3" t="s">
        <v>37</v>
      </c>
      <c r="D32" s="3" t="s">
        <v>75</v>
      </c>
      <c r="E32" s="3" t="s">
        <v>81</v>
      </c>
      <c r="F32" s="3" t="s">
        <v>40</v>
      </c>
      <c r="G32" s="3">
        <v>36.0</v>
      </c>
      <c r="H32" s="3">
        <v>10604.0</v>
      </c>
      <c r="I32" s="3">
        <v>16.0</v>
      </c>
      <c r="J32" s="3">
        <v>7866.0</v>
      </c>
      <c r="K32" s="3">
        <v>11361.0</v>
      </c>
      <c r="L32" s="3">
        <v>146.0</v>
      </c>
      <c r="M32" s="3">
        <v>861.0</v>
      </c>
      <c r="N32" s="3">
        <v>392.0</v>
      </c>
      <c r="O32" s="3">
        <v>8303.0</v>
      </c>
      <c r="P32" s="3">
        <v>326.0</v>
      </c>
      <c r="Q32" s="3">
        <v>60.0</v>
      </c>
      <c r="R32" s="3">
        <v>159.0</v>
      </c>
      <c r="S32" s="3">
        <v>247.0</v>
      </c>
      <c r="T32" s="3">
        <v>792.0</v>
      </c>
      <c r="U32" s="3">
        <v>8.0</v>
      </c>
      <c r="V32" s="3">
        <v>15.0</v>
      </c>
      <c r="W32" s="3">
        <v>6.0</v>
      </c>
      <c r="X32" s="3">
        <v>10.0</v>
      </c>
      <c r="Y32" s="3">
        <v>2.0</v>
      </c>
      <c r="Z32" s="3">
        <v>5.0</v>
      </c>
      <c r="AA32" s="3" t="s">
        <v>82</v>
      </c>
      <c r="AB32" s="3">
        <v>12.0</v>
      </c>
      <c r="AC32" s="3">
        <v>23.0</v>
      </c>
      <c r="AD32" s="3">
        <v>9.0</v>
      </c>
      <c r="AE32" s="3">
        <v>18.0</v>
      </c>
      <c r="AF32" s="3">
        <v>3.0</v>
      </c>
      <c r="AG32" s="3">
        <v>5.0</v>
      </c>
      <c r="AH32" s="3">
        <v>10791.0</v>
      </c>
      <c r="AI32" s="3">
        <v>12450.0</v>
      </c>
      <c r="AJ32" s="3" t="str">
        <f t="array" ref="AJ32">IF(AA32="", "", XLOOKUP(AA32, 'Appendix B - Reason codes'!$A$4:$A$14, 'Appendix B - Reason codes'!$B$4:$B$14))</f>
        <v>Claims to have a cure</v>
      </c>
    </row>
    <row r="33" ht="15.75" customHeight="1">
      <c r="A33" s="3" t="s">
        <v>36</v>
      </c>
      <c r="B33" s="3">
        <v>32.0</v>
      </c>
      <c r="C33" s="3" t="s">
        <v>37</v>
      </c>
      <c r="D33" s="3" t="s">
        <v>75</v>
      </c>
      <c r="E33" s="3" t="s">
        <v>83</v>
      </c>
      <c r="F33" s="3" t="s">
        <v>40</v>
      </c>
      <c r="G33" s="3">
        <v>37.0</v>
      </c>
      <c r="H33" s="3">
        <v>3245.0</v>
      </c>
      <c r="I33" s="3">
        <v>4.0</v>
      </c>
      <c r="J33" s="3">
        <v>2279.0</v>
      </c>
      <c r="K33" s="3">
        <v>3584.0</v>
      </c>
      <c r="L33" s="3">
        <v>62.0</v>
      </c>
      <c r="M33" s="3">
        <v>27.0</v>
      </c>
      <c r="N33" s="3">
        <v>131.0</v>
      </c>
      <c r="O33" s="3">
        <v>2613.0</v>
      </c>
      <c r="P33" s="3">
        <v>107.0</v>
      </c>
      <c r="Q33" s="3">
        <v>121.0</v>
      </c>
      <c r="R33" s="3">
        <v>53.0</v>
      </c>
      <c r="S33" s="3">
        <v>35.0</v>
      </c>
      <c r="T33" s="3">
        <v>316.0</v>
      </c>
      <c r="U33" s="3">
        <v>3.0</v>
      </c>
      <c r="V33" s="3">
        <v>6.0</v>
      </c>
      <c r="W33" s="3">
        <v>2.0</v>
      </c>
      <c r="X33" s="3">
        <v>4.0</v>
      </c>
      <c r="Y33" s="3">
        <v>1.0</v>
      </c>
      <c r="Z33" s="3">
        <v>2.0</v>
      </c>
      <c r="AA33" s="3" t="s">
        <v>46</v>
      </c>
      <c r="AB33" s="3">
        <v>4.0</v>
      </c>
      <c r="AC33" s="3">
        <v>7.0</v>
      </c>
      <c r="AD33" s="3">
        <v>3.0</v>
      </c>
      <c r="AE33" s="3">
        <v>6.0</v>
      </c>
      <c r="AF33" s="3">
        <v>1.0</v>
      </c>
      <c r="AG33" s="3">
        <v>1.0</v>
      </c>
      <c r="AH33" s="3">
        <v>3109.0</v>
      </c>
      <c r="AI33" s="3">
        <v>3600.0</v>
      </c>
      <c r="AJ33" s="3" t="str">
        <f t="array" ref="AJ33">IF(AA33="", "", XLOOKUP(AA33, 'Appendix B - Reason codes'!$A$4:$A$14, 'Appendix B - Reason codes'!$B$4:$B$14))</f>
        <v>Father didn’t allow</v>
      </c>
    </row>
    <row r="34" ht="15.75" customHeight="1">
      <c r="A34" s="3" t="s">
        <v>36</v>
      </c>
      <c r="B34" s="3">
        <v>33.0</v>
      </c>
      <c r="C34" s="3" t="s">
        <v>37</v>
      </c>
      <c r="D34" s="3" t="s">
        <v>84</v>
      </c>
      <c r="E34" s="3" t="s">
        <v>85</v>
      </c>
      <c r="F34" s="3" t="s">
        <v>40</v>
      </c>
      <c r="G34" s="3">
        <v>35.0</v>
      </c>
      <c r="H34" s="3">
        <v>3819.0</v>
      </c>
      <c r="I34" s="3">
        <v>5.0</v>
      </c>
      <c r="J34" s="3">
        <v>3570.0</v>
      </c>
      <c r="K34" s="3">
        <v>3888.0</v>
      </c>
      <c r="L34" s="3">
        <v>12.0</v>
      </c>
      <c r="M34" s="3">
        <v>130.0</v>
      </c>
      <c r="N34" s="3">
        <v>151.0</v>
      </c>
      <c r="O34" s="3">
        <v>1993.0</v>
      </c>
      <c r="P34" s="3">
        <v>3.0</v>
      </c>
      <c r="Q34" s="3">
        <v>35.0</v>
      </c>
      <c r="R34" s="3">
        <v>120.0</v>
      </c>
      <c r="S34" s="3">
        <v>59.0</v>
      </c>
      <c r="T34" s="3">
        <v>217.0</v>
      </c>
      <c r="U34" s="3">
        <v>4.0</v>
      </c>
      <c r="V34" s="3">
        <v>6.0</v>
      </c>
      <c r="W34" s="3">
        <v>2.0</v>
      </c>
      <c r="X34" s="3">
        <v>3.0</v>
      </c>
      <c r="Y34" s="3">
        <v>2.0</v>
      </c>
      <c r="Z34" s="3">
        <v>3.0</v>
      </c>
      <c r="AA34" s="3" t="s">
        <v>46</v>
      </c>
      <c r="AB34" s="3">
        <v>3.0</v>
      </c>
      <c r="AC34" s="3">
        <v>5.0</v>
      </c>
      <c r="AD34" s="3">
        <v>2.0</v>
      </c>
      <c r="AE34" s="3">
        <v>4.0</v>
      </c>
      <c r="AF34" s="3">
        <v>1.0</v>
      </c>
      <c r="AG34" s="3">
        <v>1.0</v>
      </c>
      <c r="AH34" s="3">
        <v>3563.0</v>
      </c>
      <c r="AI34" s="3">
        <v>3950.0</v>
      </c>
      <c r="AJ34" s="3" t="str">
        <f t="array" ref="AJ34">IF(AA34="", "", XLOOKUP(AA34, 'Appendix B - Reason codes'!$A$4:$A$14, 'Appendix B - Reason codes'!$B$4:$B$14))</f>
        <v>Father didn’t allow</v>
      </c>
    </row>
    <row r="35" ht="15.75" customHeight="1">
      <c r="A35" s="3" t="s">
        <v>36</v>
      </c>
      <c r="B35" s="3">
        <v>34.0</v>
      </c>
      <c r="C35" s="3" t="s">
        <v>37</v>
      </c>
      <c r="D35" s="3" t="s">
        <v>84</v>
      </c>
      <c r="E35" s="3" t="s">
        <v>86</v>
      </c>
      <c r="F35" s="3" t="s">
        <v>40</v>
      </c>
      <c r="G35" s="3">
        <v>14.0</v>
      </c>
      <c r="H35" s="3">
        <v>2942.0</v>
      </c>
      <c r="I35" s="3">
        <v>4.0</v>
      </c>
      <c r="J35" s="3">
        <v>2776.0</v>
      </c>
      <c r="K35" s="3">
        <v>3108.0</v>
      </c>
      <c r="L35" s="3">
        <v>35.0</v>
      </c>
      <c r="M35" s="3">
        <v>274.0</v>
      </c>
      <c r="N35" s="3">
        <v>68.0</v>
      </c>
      <c r="O35" s="3">
        <v>1981.0</v>
      </c>
      <c r="P35" s="3">
        <v>79.0</v>
      </c>
      <c r="Q35" s="3">
        <v>93.0</v>
      </c>
      <c r="R35" s="3">
        <v>5.0</v>
      </c>
      <c r="S35" s="3">
        <v>17.0</v>
      </c>
      <c r="T35" s="3">
        <v>194.0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/>
      <c r="AB35" s="3">
        <v>4.0</v>
      </c>
      <c r="AC35" s="3">
        <v>8.0</v>
      </c>
      <c r="AD35" s="3">
        <v>3.0</v>
      </c>
      <c r="AE35" s="3">
        <v>6.0</v>
      </c>
      <c r="AF35" s="3">
        <v>1.0</v>
      </c>
      <c r="AG35" s="3">
        <v>2.0</v>
      </c>
      <c r="AH35" s="3">
        <v>2807.0</v>
      </c>
      <c r="AI35" s="3">
        <v>3100.0</v>
      </c>
      <c r="AJ35" s="3" t="str">
        <f t="array" ref="AJ35">IF(AA35="", "", XLOOKUP(AA35, 'Appendix B - Reason codes'!$A$4:$A$14, 'Appendix B - Reason codes'!$B$4:$B$14))</f>
        <v/>
      </c>
    </row>
    <row r="36" ht="15.75" customHeight="1">
      <c r="A36" s="3" t="s">
        <v>36</v>
      </c>
      <c r="B36" s="3">
        <v>35.0</v>
      </c>
      <c r="C36" s="3" t="s">
        <v>37</v>
      </c>
      <c r="D36" s="3" t="s">
        <v>84</v>
      </c>
      <c r="E36" s="3" t="s">
        <v>87</v>
      </c>
      <c r="F36" s="3" t="s">
        <v>40</v>
      </c>
      <c r="G36" s="3">
        <v>24.0</v>
      </c>
      <c r="H36" s="3">
        <v>17022.0</v>
      </c>
      <c r="I36" s="3">
        <v>26.0</v>
      </c>
      <c r="J36" s="3">
        <v>15219.0</v>
      </c>
      <c r="K36" s="3">
        <v>17494.0</v>
      </c>
      <c r="L36" s="3">
        <v>368.0</v>
      </c>
      <c r="M36" s="3">
        <v>411.0</v>
      </c>
      <c r="N36" s="3">
        <v>604.0</v>
      </c>
      <c r="O36" s="3">
        <v>8710.0</v>
      </c>
      <c r="P36" s="3">
        <v>118.0</v>
      </c>
      <c r="Q36" s="3">
        <v>210.0</v>
      </c>
      <c r="R36" s="3">
        <v>170.0</v>
      </c>
      <c r="S36" s="3">
        <v>315.0</v>
      </c>
      <c r="T36" s="3">
        <v>813.0</v>
      </c>
      <c r="U36" s="3">
        <v>13.0</v>
      </c>
      <c r="V36" s="3">
        <v>23.0</v>
      </c>
      <c r="W36" s="3">
        <v>8.0</v>
      </c>
      <c r="X36" s="3">
        <v>15.0</v>
      </c>
      <c r="Y36" s="3">
        <v>5.0</v>
      </c>
      <c r="Z36" s="3">
        <v>8.0</v>
      </c>
      <c r="AA36" s="3" t="s">
        <v>78</v>
      </c>
      <c r="AB36" s="3">
        <v>18.0</v>
      </c>
      <c r="AC36" s="3">
        <v>30.0</v>
      </c>
      <c r="AD36" s="3">
        <v>16.0</v>
      </c>
      <c r="AE36" s="3">
        <v>27.0</v>
      </c>
      <c r="AF36" s="3">
        <v>2.0</v>
      </c>
      <c r="AG36" s="3">
        <v>3.0</v>
      </c>
      <c r="AH36" s="3">
        <v>15278.0</v>
      </c>
      <c r="AI36" s="3">
        <v>16750.0</v>
      </c>
      <c r="AJ36" s="3" t="str">
        <f t="array" ref="AJ36">IF(AA36="", "", XLOOKUP(AA36, 'Appendix B - Reason codes'!$A$4:$A$14, 'Appendix B - Reason codes'!$B$4:$B$14))</f>
        <v>Child sick</v>
      </c>
    </row>
    <row r="37" ht="15.75" customHeight="1">
      <c r="A37" s="3" t="s">
        <v>36</v>
      </c>
      <c r="B37" s="3">
        <v>36.0</v>
      </c>
      <c r="C37" s="3" t="s">
        <v>37</v>
      </c>
      <c r="D37" s="3" t="s">
        <v>84</v>
      </c>
      <c r="E37" s="3" t="s">
        <v>88</v>
      </c>
      <c r="F37" s="3" t="s">
        <v>40</v>
      </c>
      <c r="G37" s="3">
        <v>13.0</v>
      </c>
      <c r="H37" s="3">
        <v>3309.0</v>
      </c>
      <c r="I37" s="3">
        <v>5.0</v>
      </c>
      <c r="J37" s="3">
        <v>3283.0</v>
      </c>
      <c r="K37" s="3">
        <v>3551.0</v>
      </c>
      <c r="L37" s="3">
        <v>14.0</v>
      </c>
      <c r="M37" s="3">
        <v>9.0</v>
      </c>
      <c r="N37" s="3">
        <v>60.0</v>
      </c>
      <c r="O37" s="3">
        <v>2011.0</v>
      </c>
      <c r="P37" s="3">
        <v>74.0</v>
      </c>
      <c r="Q37" s="3">
        <v>110.0</v>
      </c>
      <c r="R37" s="3">
        <v>38.0</v>
      </c>
      <c r="S37" s="3">
        <v>8.0</v>
      </c>
      <c r="T37" s="3">
        <v>230.0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/>
      <c r="AB37" s="3">
        <v>3.0</v>
      </c>
      <c r="AC37" s="3">
        <v>6.0</v>
      </c>
      <c r="AD37" s="3">
        <v>3.0</v>
      </c>
      <c r="AE37" s="3">
        <v>5.0</v>
      </c>
      <c r="AF37" s="3">
        <v>0.0</v>
      </c>
      <c r="AG37" s="3">
        <v>1.0</v>
      </c>
      <c r="AH37" s="3">
        <v>3123.0</v>
      </c>
      <c r="AI37" s="3">
        <v>3500.0</v>
      </c>
      <c r="AJ37" s="3" t="str">
        <f t="array" ref="AJ37">IF(AA37="", "", XLOOKUP(AA37, 'Appendix B - Reason codes'!$A$4:$A$14, 'Appendix B - Reason codes'!$B$4:$B$14))</f>
        <v/>
      </c>
    </row>
    <row r="38" ht="15.75" customHeight="1">
      <c r="A38" s="3" t="s">
        <v>36</v>
      </c>
      <c r="B38" s="3">
        <v>37.0</v>
      </c>
      <c r="C38" s="3" t="s">
        <v>37</v>
      </c>
      <c r="D38" s="3" t="s">
        <v>84</v>
      </c>
      <c r="E38" s="3" t="s">
        <v>89</v>
      </c>
      <c r="F38" s="3" t="s">
        <v>40</v>
      </c>
      <c r="G38" s="3">
        <v>39.0</v>
      </c>
      <c r="H38" s="3">
        <v>3772.0</v>
      </c>
      <c r="I38" s="3">
        <v>5.0</v>
      </c>
      <c r="J38" s="3">
        <v>2943.0</v>
      </c>
      <c r="K38" s="3">
        <v>4024.0</v>
      </c>
      <c r="L38" s="3">
        <v>106.0</v>
      </c>
      <c r="M38" s="3">
        <v>129.0</v>
      </c>
      <c r="N38" s="3">
        <v>14.0</v>
      </c>
      <c r="O38" s="3">
        <v>2667.0</v>
      </c>
      <c r="P38" s="3">
        <v>126.0</v>
      </c>
      <c r="Q38" s="3">
        <v>113.0</v>
      </c>
      <c r="R38" s="3">
        <v>31.0</v>
      </c>
      <c r="S38" s="3">
        <v>72.0</v>
      </c>
      <c r="T38" s="3">
        <v>342.0</v>
      </c>
      <c r="U38" s="3">
        <v>1.0</v>
      </c>
      <c r="V38" s="3">
        <v>1.0</v>
      </c>
      <c r="W38" s="3">
        <v>1.0</v>
      </c>
      <c r="X38" s="3">
        <v>1.0</v>
      </c>
      <c r="Y38" s="3">
        <v>0.0</v>
      </c>
      <c r="Z38" s="3">
        <v>0.0</v>
      </c>
      <c r="AA38" s="3" t="s">
        <v>59</v>
      </c>
      <c r="AB38" s="3">
        <v>6.0</v>
      </c>
      <c r="AC38" s="3">
        <v>9.0</v>
      </c>
      <c r="AD38" s="3">
        <v>5.0</v>
      </c>
      <c r="AE38" s="3">
        <v>7.0</v>
      </c>
      <c r="AF38" s="3">
        <v>1.0</v>
      </c>
      <c r="AG38" s="3">
        <v>2.0</v>
      </c>
      <c r="AH38" s="3">
        <v>3596.0</v>
      </c>
      <c r="AI38" s="3">
        <v>3950.0</v>
      </c>
      <c r="AJ38" s="3" t="str">
        <f t="array" ref="AJ38">IF(AA38="", "", XLOOKUP(AA38, 'Appendix B - Reason codes'!$A$4:$A$14, 'Appendix B - Reason codes'!$B$4:$B$14))</f>
        <v>Concerned about adverse effect</v>
      </c>
    </row>
    <row r="39" ht="15.75" customHeight="1">
      <c r="A39" s="3" t="s">
        <v>36</v>
      </c>
      <c r="B39" s="3">
        <v>38.0</v>
      </c>
      <c r="C39" s="3" t="s">
        <v>37</v>
      </c>
      <c r="D39" s="3" t="s">
        <v>84</v>
      </c>
      <c r="E39" s="3" t="s">
        <v>90</v>
      </c>
      <c r="F39" s="3" t="s">
        <v>40</v>
      </c>
      <c r="G39" s="3">
        <v>34.0</v>
      </c>
      <c r="H39" s="3">
        <v>13207.0</v>
      </c>
      <c r="I39" s="3">
        <v>20.0</v>
      </c>
      <c r="J39" s="3">
        <v>9261.0</v>
      </c>
      <c r="K39" s="3">
        <v>14114.0</v>
      </c>
      <c r="L39" s="3">
        <v>492.0</v>
      </c>
      <c r="M39" s="3">
        <v>244.0</v>
      </c>
      <c r="N39" s="3">
        <v>580.0</v>
      </c>
      <c r="O39" s="3">
        <v>7965.0</v>
      </c>
      <c r="P39" s="3">
        <v>99.0</v>
      </c>
      <c r="Q39" s="3">
        <v>139.0</v>
      </c>
      <c r="R39" s="3">
        <v>299.0</v>
      </c>
      <c r="S39" s="3">
        <v>93.0</v>
      </c>
      <c r="T39" s="3">
        <v>630.0</v>
      </c>
      <c r="U39" s="3">
        <v>15.0</v>
      </c>
      <c r="V39" s="3">
        <v>32.0</v>
      </c>
      <c r="W39" s="3">
        <v>10.0</v>
      </c>
      <c r="X39" s="3">
        <v>22.0</v>
      </c>
      <c r="Y39" s="3">
        <v>5.0</v>
      </c>
      <c r="Z39" s="3">
        <v>10.0</v>
      </c>
      <c r="AA39" s="3" t="s">
        <v>46</v>
      </c>
      <c r="AB39" s="3">
        <v>15.0</v>
      </c>
      <c r="AC39" s="3">
        <v>25.0</v>
      </c>
      <c r="AD39" s="3">
        <v>13.0</v>
      </c>
      <c r="AE39" s="3">
        <v>21.0</v>
      </c>
      <c r="AF39" s="3">
        <v>2.0</v>
      </c>
      <c r="AG39" s="3">
        <v>4.0</v>
      </c>
      <c r="AH39" s="3">
        <v>12423.0</v>
      </c>
      <c r="AI39" s="3">
        <v>13750.0</v>
      </c>
      <c r="AJ39" s="3" t="str">
        <f t="array" ref="AJ39">IF(AA39="", "", XLOOKUP(AA39, 'Appendix B - Reason codes'!$A$4:$A$14, 'Appendix B - Reason codes'!$B$4:$B$14))</f>
        <v>Father didn’t allow</v>
      </c>
    </row>
    <row r="40" ht="15.75" customHeight="1">
      <c r="A40" s="3" t="s">
        <v>36</v>
      </c>
      <c r="B40" s="3">
        <v>39.0</v>
      </c>
      <c r="C40" s="3" t="s">
        <v>37</v>
      </c>
      <c r="D40" s="3" t="s">
        <v>84</v>
      </c>
      <c r="E40" s="3" t="s">
        <v>91</v>
      </c>
      <c r="F40" s="3" t="s">
        <v>40</v>
      </c>
      <c r="G40" s="3">
        <v>11.0</v>
      </c>
      <c r="H40" s="3">
        <v>1157.0</v>
      </c>
      <c r="I40" s="3">
        <v>1.0</v>
      </c>
      <c r="J40" s="3">
        <v>1128.0</v>
      </c>
      <c r="K40" s="3">
        <v>1211.0</v>
      </c>
      <c r="L40" s="3">
        <v>18.0</v>
      </c>
      <c r="M40" s="3">
        <v>4.0</v>
      </c>
      <c r="N40" s="3">
        <v>22.0</v>
      </c>
      <c r="O40" s="3">
        <v>661.0</v>
      </c>
      <c r="P40" s="3">
        <v>20.0</v>
      </c>
      <c r="Q40" s="3">
        <v>0.0</v>
      </c>
      <c r="R40" s="3">
        <v>6.0</v>
      </c>
      <c r="S40" s="3">
        <v>9.0</v>
      </c>
      <c r="T40" s="3">
        <v>35.0</v>
      </c>
      <c r="U40" s="3">
        <v>2.0</v>
      </c>
      <c r="V40" s="3">
        <v>3.0</v>
      </c>
      <c r="W40" s="3">
        <v>2.0</v>
      </c>
      <c r="X40" s="3">
        <v>2.0</v>
      </c>
      <c r="Y40" s="3">
        <v>0.0</v>
      </c>
      <c r="Z40" s="3">
        <v>1.0</v>
      </c>
      <c r="AA40" s="3" t="s">
        <v>51</v>
      </c>
      <c r="AB40" s="3">
        <v>2.0</v>
      </c>
      <c r="AC40" s="3">
        <v>3.0</v>
      </c>
      <c r="AD40" s="3">
        <v>2.0</v>
      </c>
      <c r="AE40" s="3">
        <v>3.0</v>
      </c>
      <c r="AF40" s="3">
        <v>0.0</v>
      </c>
      <c r="AG40" s="3">
        <v>0.0</v>
      </c>
      <c r="AH40" s="3">
        <v>1007.0</v>
      </c>
      <c r="AI40" s="3">
        <v>1150.0</v>
      </c>
      <c r="AJ40" s="3" t="str">
        <f t="array" ref="AJ40">IF(AA40="", "", XLOOKUP(AA40, 'Appendix B - Reason codes'!$A$4:$A$14, 'Appendix B - Reason codes'!$B$4:$B$14))</f>
        <v>Religious belief</v>
      </c>
    </row>
    <row r="41" ht="15.75" customHeight="1">
      <c r="A41" s="3" t="s">
        <v>36</v>
      </c>
      <c r="B41" s="3">
        <v>40.0</v>
      </c>
      <c r="C41" s="3" t="s">
        <v>37</v>
      </c>
      <c r="D41" s="3" t="s">
        <v>84</v>
      </c>
      <c r="E41" s="3" t="s">
        <v>92</v>
      </c>
      <c r="F41" s="3" t="s">
        <v>40</v>
      </c>
      <c r="G41" s="3">
        <v>12.0</v>
      </c>
      <c r="H41" s="3">
        <v>3714.0</v>
      </c>
      <c r="I41" s="3">
        <v>5.0</v>
      </c>
      <c r="J41" s="3">
        <v>2744.0</v>
      </c>
      <c r="K41" s="3">
        <v>3827.0</v>
      </c>
      <c r="L41" s="3">
        <v>93.0</v>
      </c>
      <c r="M41" s="3">
        <v>103.0</v>
      </c>
      <c r="N41" s="3">
        <v>70.0</v>
      </c>
      <c r="O41" s="3">
        <v>2105.0</v>
      </c>
      <c r="P41" s="3">
        <v>40.0</v>
      </c>
      <c r="Q41" s="3">
        <v>134.0</v>
      </c>
      <c r="R41" s="3">
        <v>159.0</v>
      </c>
      <c r="S41" s="3">
        <v>63.0</v>
      </c>
      <c r="T41" s="3">
        <v>396.0</v>
      </c>
      <c r="U41" s="3">
        <v>6.0</v>
      </c>
      <c r="V41" s="3">
        <v>10.0</v>
      </c>
      <c r="W41" s="3">
        <v>5.0</v>
      </c>
      <c r="X41" s="3">
        <v>8.0</v>
      </c>
      <c r="Y41" s="3">
        <v>1.0</v>
      </c>
      <c r="Z41" s="3">
        <v>2.0</v>
      </c>
      <c r="AA41" s="3" t="s">
        <v>59</v>
      </c>
      <c r="AB41" s="3">
        <v>1.0</v>
      </c>
      <c r="AC41" s="3">
        <v>1.0</v>
      </c>
      <c r="AD41" s="3">
        <v>1.0</v>
      </c>
      <c r="AE41" s="3">
        <v>1.0</v>
      </c>
      <c r="AF41" s="3">
        <v>0.0</v>
      </c>
      <c r="AG41" s="3">
        <v>0.0</v>
      </c>
      <c r="AH41" s="3">
        <v>3484.0</v>
      </c>
      <c r="AI41" s="3">
        <v>3850.0</v>
      </c>
      <c r="AJ41" s="3" t="str">
        <f t="array" ref="AJ41">IF(AA41="", "", XLOOKUP(AA41, 'Appendix B - Reason codes'!$A$4:$A$14, 'Appendix B - Reason codes'!$B$4:$B$14))</f>
        <v>Concerned about adverse effect</v>
      </c>
    </row>
    <row r="42" ht="15.75" customHeight="1">
      <c r="A42" s="3" t="s">
        <v>36</v>
      </c>
      <c r="B42" s="3">
        <v>41.0</v>
      </c>
      <c r="C42" s="3" t="s">
        <v>37</v>
      </c>
      <c r="D42" s="3" t="s">
        <v>93</v>
      </c>
      <c r="E42" s="3" t="s">
        <v>94</v>
      </c>
      <c r="F42" s="3" t="s">
        <v>40</v>
      </c>
      <c r="G42" s="3">
        <v>48.0</v>
      </c>
      <c r="H42" s="3">
        <v>24574.0</v>
      </c>
      <c r="I42" s="3">
        <v>37.0</v>
      </c>
      <c r="J42" s="3">
        <v>22419.0</v>
      </c>
      <c r="K42" s="3">
        <v>25623.0</v>
      </c>
      <c r="L42" s="3">
        <v>667.0</v>
      </c>
      <c r="M42" s="3">
        <v>938.0</v>
      </c>
      <c r="N42" s="3">
        <v>737.0</v>
      </c>
      <c r="O42" s="3">
        <v>17049.0</v>
      </c>
      <c r="P42" s="3">
        <v>968.0</v>
      </c>
      <c r="Q42" s="3">
        <v>194.0</v>
      </c>
      <c r="R42" s="3">
        <v>214.0</v>
      </c>
      <c r="S42" s="3">
        <v>497.0</v>
      </c>
      <c r="T42" s="3">
        <v>1873.0</v>
      </c>
      <c r="U42" s="3">
        <v>17.0</v>
      </c>
      <c r="V42" s="3">
        <v>32.0</v>
      </c>
      <c r="W42" s="3">
        <v>13.0</v>
      </c>
      <c r="X42" s="3">
        <v>24.0</v>
      </c>
      <c r="Y42" s="3">
        <v>4.0</v>
      </c>
      <c r="Z42" s="3">
        <v>8.0</v>
      </c>
      <c r="AA42" s="3" t="s">
        <v>73</v>
      </c>
      <c r="AB42" s="3">
        <v>32.0</v>
      </c>
      <c r="AC42" s="3">
        <v>45.0</v>
      </c>
      <c r="AD42" s="3">
        <v>24.0</v>
      </c>
      <c r="AE42" s="3">
        <v>34.0</v>
      </c>
      <c r="AF42" s="3">
        <v>8.0</v>
      </c>
      <c r="AG42" s="3">
        <v>11.0</v>
      </c>
      <c r="AH42" s="3">
        <v>21020.0</v>
      </c>
      <c r="AI42" s="3">
        <v>23750.0</v>
      </c>
      <c r="AJ42" s="3" t="str">
        <f t="array" ref="AJ42">IF(AA42="", "", XLOOKUP(AA42, 'Appendix B - Reason codes'!$A$4:$A$14, 'Appendix B - Reason codes'!$B$4:$B$14))</f>
        <v>Has an alternative to the vaccine</v>
      </c>
    </row>
    <row r="43" ht="15.75" customHeight="1">
      <c r="A43" s="3" t="s">
        <v>36</v>
      </c>
      <c r="B43" s="3">
        <v>42.0</v>
      </c>
      <c r="C43" s="3" t="s">
        <v>37</v>
      </c>
      <c r="D43" s="3" t="s">
        <v>93</v>
      </c>
      <c r="E43" s="3" t="s">
        <v>95</v>
      </c>
      <c r="F43" s="3" t="s">
        <v>40</v>
      </c>
      <c r="G43" s="3">
        <v>43.0</v>
      </c>
      <c r="H43" s="3">
        <v>14635.0</v>
      </c>
      <c r="I43" s="3">
        <v>22.0</v>
      </c>
      <c r="J43" s="3">
        <v>14354.0</v>
      </c>
      <c r="K43" s="3">
        <v>14792.0</v>
      </c>
      <c r="L43" s="3">
        <v>110.0</v>
      </c>
      <c r="M43" s="3">
        <v>1142.0</v>
      </c>
      <c r="N43" s="3">
        <v>445.0</v>
      </c>
      <c r="O43" s="3">
        <v>8720.0</v>
      </c>
      <c r="P43" s="3">
        <v>364.0</v>
      </c>
      <c r="Q43" s="3">
        <v>265.0</v>
      </c>
      <c r="R43" s="3">
        <v>25.0</v>
      </c>
      <c r="S43" s="3">
        <v>187.0</v>
      </c>
      <c r="T43" s="3">
        <v>841.0</v>
      </c>
      <c r="U43" s="3">
        <v>17.0</v>
      </c>
      <c r="V43" s="3">
        <v>35.0</v>
      </c>
      <c r="W43" s="3">
        <v>11.0</v>
      </c>
      <c r="X43" s="3">
        <v>23.0</v>
      </c>
      <c r="Y43" s="3">
        <v>6.0</v>
      </c>
      <c r="Z43" s="3">
        <v>12.0</v>
      </c>
      <c r="AA43" s="3" t="s">
        <v>78</v>
      </c>
      <c r="AB43" s="3">
        <v>13.0</v>
      </c>
      <c r="AC43" s="3">
        <v>18.0</v>
      </c>
      <c r="AD43" s="3">
        <v>11.0</v>
      </c>
      <c r="AE43" s="3">
        <v>16.0</v>
      </c>
      <c r="AF43" s="3">
        <v>2.0</v>
      </c>
      <c r="AG43" s="3">
        <v>2.0</v>
      </c>
      <c r="AH43" s="3">
        <v>12594.0</v>
      </c>
      <c r="AI43" s="3">
        <v>13900.0</v>
      </c>
      <c r="AJ43" s="3" t="str">
        <f t="array" ref="AJ43">IF(AA43="", "", XLOOKUP(AA43, 'Appendix B - Reason codes'!$A$4:$A$14, 'Appendix B - Reason codes'!$B$4:$B$14))</f>
        <v>Child sick</v>
      </c>
    </row>
    <row r="44" ht="15.75" customHeight="1">
      <c r="A44" s="3" t="s">
        <v>36</v>
      </c>
      <c r="B44" s="3">
        <v>43.0</v>
      </c>
      <c r="C44" s="3" t="s">
        <v>37</v>
      </c>
      <c r="D44" s="3" t="s">
        <v>93</v>
      </c>
      <c r="E44" s="3" t="s">
        <v>96</v>
      </c>
      <c r="F44" s="3" t="s">
        <v>40</v>
      </c>
      <c r="G44" s="3">
        <v>18.0</v>
      </c>
      <c r="H44" s="3">
        <v>9521.0</v>
      </c>
      <c r="I44" s="3">
        <v>14.0</v>
      </c>
      <c r="J44" s="3">
        <v>6795.0</v>
      </c>
      <c r="K44" s="3">
        <v>9527.0</v>
      </c>
      <c r="L44" s="3">
        <v>0.0</v>
      </c>
      <c r="M44" s="3">
        <v>612.0</v>
      </c>
      <c r="N44" s="3">
        <v>319.0</v>
      </c>
      <c r="O44" s="3">
        <v>6718.0</v>
      </c>
      <c r="P44" s="3">
        <v>87.0</v>
      </c>
      <c r="Q44" s="3">
        <v>89.0</v>
      </c>
      <c r="R44" s="3">
        <v>326.0</v>
      </c>
      <c r="S44" s="3">
        <v>95.0</v>
      </c>
      <c r="T44" s="3">
        <v>597.0</v>
      </c>
      <c r="U44" s="3">
        <v>13.0</v>
      </c>
      <c r="V44" s="3">
        <v>24.0</v>
      </c>
      <c r="W44" s="3">
        <v>11.0</v>
      </c>
      <c r="X44" s="3">
        <v>20.0</v>
      </c>
      <c r="Y44" s="3">
        <v>2.0</v>
      </c>
      <c r="Z44" s="3">
        <v>4.0</v>
      </c>
      <c r="AA44" s="3" t="s">
        <v>51</v>
      </c>
      <c r="AB44" s="3">
        <v>8.0</v>
      </c>
      <c r="AC44" s="3">
        <v>10.0</v>
      </c>
      <c r="AD44" s="3">
        <v>6.0</v>
      </c>
      <c r="AE44" s="3">
        <v>8.0</v>
      </c>
      <c r="AF44" s="3">
        <v>2.0</v>
      </c>
      <c r="AG44" s="3">
        <v>2.0</v>
      </c>
      <c r="AH44" s="3">
        <v>8851.0</v>
      </c>
      <c r="AI44" s="3">
        <v>9700.0</v>
      </c>
      <c r="AJ44" s="3" t="str">
        <f t="array" ref="AJ44">IF(AA44="", "", XLOOKUP(AA44, 'Appendix B - Reason codes'!$A$4:$A$14, 'Appendix B - Reason codes'!$B$4:$B$14))</f>
        <v>Religious belief</v>
      </c>
    </row>
    <row r="45" ht="15.75" customHeight="1">
      <c r="A45" s="3" t="s">
        <v>36</v>
      </c>
      <c r="B45" s="3">
        <v>44.0</v>
      </c>
      <c r="C45" s="3" t="s">
        <v>37</v>
      </c>
      <c r="D45" s="3" t="s">
        <v>93</v>
      </c>
      <c r="E45" s="3" t="s">
        <v>97</v>
      </c>
      <c r="F45" s="3" t="s">
        <v>40</v>
      </c>
      <c r="G45" s="3">
        <v>32.0</v>
      </c>
      <c r="H45" s="3">
        <v>1882.0</v>
      </c>
      <c r="I45" s="3">
        <v>2.0</v>
      </c>
      <c r="J45" s="3">
        <v>1466.0</v>
      </c>
      <c r="K45" s="3">
        <v>2002.0</v>
      </c>
      <c r="L45" s="3">
        <v>67.0</v>
      </c>
      <c r="M45" s="3">
        <v>1.0</v>
      </c>
      <c r="N45" s="3">
        <v>48.0</v>
      </c>
      <c r="O45" s="3">
        <v>1015.0</v>
      </c>
      <c r="P45" s="3">
        <v>38.0</v>
      </c>
      <c r="Q45" s="3">
        <v>56.0</v>
      </c>
      <c r="R45" s="3">
        <v>34.0</v>
      </c>
      <c r="S45" s="3">
        <v>26.0</v>
      </c>
      <c r="T45" s="3">
        <v>154.0</v>
      </c>
      <c r="U45" s="3">
        <v>2.0</v>
      </c>
      <c r="V45" s="3">
        <v>4.0</v>
      </c>
      <c r="W45" s="3">
        <v>2.0</v>
      </c>
      <c r="X45" s="3">
        <v>3.0</v>
      </c>
      <c r="Y45" s="3">
        <v>0.0</v>
      </c>
      <c r="Z45" s="3">
        <v>1.0</v>
      </c>
      <c r="AA45" s="3" t="s">
        <v>78</v>
      </c>
      <c r="AB45" s="3">
        <v>1.0</v>
      </c>
      <c r="AC45" s="3">
        <v>1.0</v>
      </c>
      <c r="AD45" s="3">
        <v>1.0</v>
      </c>
      <c r="AE45" s="3">
        <v>1.0</v>
      </c>
      <c r="AF45" s="3">
        <v>0.0</v>
      </c>
      <c r="AG45" s="3">
        <v>0.0</v>
      </c>
      <c r="AH45" s="3">
        <v>1715.0</v>
      </c>
      <c r="AI45" s="3">
        <v>1950.0</v>
      </c>
      <c r="AJ45" s="3" t="str">
        <f t="array" ref="AJ45">IF(AA45="", "", XLOOKUP(AA45, 'Appendix B - Reason codes'!$A$4:$A$14, 'Appendix B - Reason codes'!$B$4:$B$14))</f>
        <v>Child sick</v>
      </c>
    </row>
    <row r="46" ht="15.75" customHeight="1">
      <c r="A46" s="3" t="s">
        <v>36</v>
      </c>
      <c r="B46" s="3">
        <v>45.0</v>
      </c>
      <c r="C46" s="3" t="s">
        <v>37</v>
      </c>
      <c r="D46" s="3" t="s">
        <v>93</v>
      </c>
      <c r="E46" s="3" t="s">
        <v>98</v>
      </c>
      <c r="F46" s="3" t="s">
        <v>40</v>
      </c>
      <c r="G46" s="3">
        <v>42.0</v>
      </c>
      <c r="H46" s="3">
        <v>5293.0</v>
      </c>
      <c r="I46" s="3">
        <v>8.0</v>
      </c>
      <c r="J46" s="3">
        <v>4644.0</v>
      </c>
      <c r="K46" s="3">
        <v>5674.0</v>
      </c>
      <c r="L46" s="3">
        <v>76.0</v>
      </c>
      <c r="M46" s="3">
        <v>91.0</v>
      </c>
      <c r="N46" s="3">
        <v>141.0</v>
      </c>
      <c r="O46" s="3">
        <v>2900.0</v>
      </c>
      <c r="P46" s="3">
        <v>12.0</v>
      </c>
      <c r="Q46" s="3">
        <v>150.0</v>
      </c>
      <c r="R46" s="3">
        <v>153.0</v>
      </c>
      <c r="S46" s="3">
        <v>116.0</v>
      </c>
      <c r="T46" s="3">
        <v>431.0</v>
      </c>
      <c r="U46" s="3">
        <v>4.0</v>
      </c>
      <c r="V46" s="3">
        <v>6.0</v>
      </c>
      <c r="W46" s="3">
        <v>3.0</v>
      </c>
      <c r="X46" s="3">
        <v>5.0</v>
      </c>
      <c r="Y46" s="3">
        <v>1.0</v>
      </c>
      <c r="Z46" s="3">
        <v>1.0</v>
      </c>
      <c r="AA46" s="3" t="s">
        <v>46</v>
      </c>
      <c r="AB46" s="3">
        <v>9.0</v>
      </c>
      <c r="AC46" s="3">
        <v>17.0</v>
      </c>
      <c r="AD46" s="3">
        <v>6.0</v>
      </c>
      <c r="AE46" s="3">
        <v>12.0</v>
      </c>
      <c r="AF46" s="3">
        <v>3.0</v>
      </c>
      <c r="AG46" s="3">
        <v>5.0</v>
      </c>
      <c r="AH46" s="3">
        <v>4951.0</v>
      </c>
      <c r="AI46" s="3">
        <v>5900.0</v>
      </c>
      <c r="AJ46" s="3" t="str">
        <f t="array" ref="AJ46">IF(AA46="", "", XLOOKUP(AA46, 'Appendix B - Reason codes'!$A$4:$A$14, 'Appendix B - Reason codes'!$B$4:$B$14))</f>
        <v>Father didn’t allow</v>
      </c>
    </row>
    <row r="47" ht="15.75" customHeight="1">
      <c r="A47" s="3" t="s">
        <v>36</v>
      </c>
      <c r="B47" s="3">
        <v>46.0</v>
      </c>
      <c r="C47" s="3" t="s">
        <v>37</v>
      </c>
      <c r="D47" s="3" t="s">
        <v>99</v>
      </c>
      <c r="E47" s="3" t="s">
        <v>100</v>
      </c>
      <c r="F47" s="3" t="s">
        <v>40</v>
      </c>
      <c r="G47" s="3">
        <v>15.0</v>
      </c>
      <c r="H47" s="3">
        <v>3471.0</v>
      </c>
      <c r="I47" s="3">
        <v>5.0</v>
      </c>
      <c r="J47" s="3">
        <v>2964.0</v>
      </c>
      <c r="K47" s="3">
        <v>3731.0</v>
      </c>
      <c r="L47" s="3">
        <v>34.0</v>
      </c>
      <c r="M47" s="3">
        <v>90.0</v>
      </c>
      <c r="N47" s="3">
        <v>67.0</v>
      </c>
      <c r="O47" s="3">
        <v>2321.0</v>
      </c>
      <c r="P47" s="3">
        <v>23.0</v>
      </c>
      <c r="Q47" s="3">
        <v>76.0</v>
      </c>
      <c r="R47" s="3">
        <v>66.0</v>
      </c>
      <c r="S47" s="3">
        <v>63.0</v>
      </c>
      <c r="T47" s="3">
        <v>228.0</v>
      </c>
      <c r="U47" s="3">
        <v>8.0</v>
      </c>
      <c r="V47" s="3">
        <v>15.0</v>
      </c>
      <c r="W47" s="3">
        <v>6.0</v>
      </c>
      <c r="X47" s="3">
        <v>11.0</v>
      </c>
      <c r="Y47" s="3">
        <v>2.0</v>
      </c>
      <c r="Z47" s="3">
        <v>4.0</v>
      </c>
      <c r="AA47" s="3" t="s">
        <v>51</v>
      </c>
      <c r="AB47" s="3">
        <v>5.0</v>
      </c>
      <c r="AC47" s="3">
        <v>9.0</v>
      </c>
      <c r="AD47" s="3">
        <v>4.0</v>
      </c>
      <c r="AE47" s="3">
        <v>6.0</v>
      </c>
      <c r="AF47" s="3">
        <v>1.0</v>
      </c>
      <c r="AG47" s="3">
        <v>3.0</v>
      </c>
      <c r="AH47" s="3">
        <v>2868.0</v>
      </c>
      <c r="AI47" s="3">
        <v>3150.0</v>
      </c>
      <c r="AJ47" s="3" t="str">
        <f t="array" ref="AJ47">IF(AA47="", "", XLOOKUP(AA47, 'Appendix B - Reason codes'!$A$4:$A$14, 'Appendix B - Reason codes'!$B$4:$B$14))</f>
        <v>Religious belief</v>
      </c>
    </row>
    <row r="48" ht="15.75" customHeight="1">
      <c r="A48" s="3" t="s">
        <v>36</v>
      </c>
      <c r="B48" s="3">
        <v>47.0</v>
      </c>
      <c r="C48" s="3" t="s">
        <v>37</v>
      </c>
      <c r="D48" s="3" t="s">
        <v>99</v>
      </c>
      <c r="E48" s="3" t="s">
        <v>101</v>
      </c>
      <c r="F48" s="3" t="s">
        <v>40</v>
      </c>
      <c r="G48" s="3">
        <v>47.0</v>
      </c>
      <c r="H48" s="3">
        <v>11612.0</v>
      </c>
      <c r="I48" s="3">
        <v>17.0</v>
      </c>
      <c r="J48" s="3">
        <v>10704.0</v>
      </c>
      <c r="K48" s="3">
        <v>12456.0</v>
      </c>
      <c r="L48" s="3">
        <v>209.0</v>
      </c>
      <c r="M48" s="3">
        <v>599.0</v>
      </c>
      <c r="N48" s="3">
        <v>125.0</v>
      </c>
      <c r="O48" s="3">
        <v>7193.0</v>
      </c>
      <c r="P48" s="3">
        <v>315.0</v>
      </c>
      <c r="Q48" s="3">
        <v>264.0</v>
      </c>
      <c r="R48" s="3">
        <v>357.0</v>
      </c>
      <c r="S48" s="3">
        <v>26.0</v>
      </c>
      <c r="T48" s="3">
        <v>962.0</v>
      </c>
      <c r="U48" s="3">
        <v>7.0</v>
      </c>
      <c r="V48" s="3">
        <v>12.0</v>
      </c>
      <c r="W48" s="3">
        <v>4.0</v>
      </c>
      <c r="X48" s="3">
        <v>7.0</v>
      </c>
      <c r="Y48" s="3">
        <v>3.0</v>
      </c>
      <c r="Z48" s="3">
        <v>5.0</v>
      </c>
      <c r="AA48" s="3" t="s">
        <v>51</v>
      </c>
      <c r="AB48" s="3">
        <v>9.0</v>
      </c>
      <c r="AC48" s="3">
        <v>13.0</v>
      </c>
      <c r="AD48" s="3">
        <v>7.0</v>
      </c>
      <c r="AE48" s="3">
        <v>11.0</v>
      </c>
      <c r="AF48" s="3">
        <v>2.0</v>
      </c>
      <c r="AG48" s="3">
        <v>2.0</v>
      </c>
      <c r="AH48" s="3">
        <v>10250.0</v>
      </c>
      <c r="AI48" s="3">
        <v>11150.0</v>
      </c>
      <c r="AJ48" s="3" t="str">
        <f t="array" ref="AJ48">IF(AA48="", "", XLOOKUP(AA48, 'Appendix B - Reason codes'!$A$4:$A$14, 'Appendix B - Reason codes'!$B$4:$B$14))</f>
        <v>Religious belief</v>
      </c>
    </row>
    <row r="49" ht="15.75" customHeight="1">
      <c r="A49" s="3" t="s">
        <v>36</v>
      </c>
      <c r="B49" s="3">
        <v>48.0</v>
      </c>
      <c r="C49" s="3" t="s">
        <v>37</v>
      </c>
      <c r="D49" s="3" t="s">
        <v>99</v>
      </c>
      <c r="E49" s="3" t="s">
        <v>102</v>
      </c>
      <c r="F49" s="3" t="s">
        <v>40</v>
      </c>
      <c r="G49" s="3">
        <v>14.0</v>
      </c>
      <c r="H49" s="3">
        <v>2980.0</v>
      </c>
      <c r="I49" s="3">
        <v>4.0</v>
      </c>
      <c r="J49" s="3">
        <v>2346.0</v>
      </c>
      <c r="K49" s="3">
        <v>3029.0</v>
      </c>
      <c r="L49" s="3">
        <v>21.0</v>
      </c>
      <c r="M49" s="3">
        <v>162.0</v>
      </c>
      <c r="N49" s="3">
        <v>79.0</v>
      </c>
      <c r="O49" s="3">
        <v>1878.0</v>
      </c>
      <c r="P49" s="3">
        <v>116.0</v>
      </c>
      <c r="Q49" s="3">
        <v>81.0</v>
      </c>
      <c r="R49" s="3">
        <v>11.0</v>
      </c>
      <c r="S49" s="3">
        <v>5.0</v>
      </c>
      <c r="T49" s="3">
        <v>213.0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/>
      <c r="AB49" s="3">
        <v>2.0</v>
      </c>
      <c r="AC49" s="3">
        <v>4.0</v>
      </c>
      <c r="AD49" s="3">
        <v>2.0</v>
      </c>
      <c r="AE49" s="3">
        <v>3.0</v>
      </c>
      <c r="AF49" s="3">
        <v>0.0</v>
      </c>
      <c r="AG49" s="3">
        <v>1.0</v>
      </c>
      <c r="AH49" s="3">
        <v>2902.0</v>
      </c>
      <c r="AI49" s="3">
        <v>3150.0</v>
      </c>
      <c r="AJ49" s="3" t="str">
        <f t="array" ref="AJ49">IF(AA49="", "", XLOOKUP(AA49, 'Appendix B - Reason codes'!$A$4:$A$14, 'Appendix B - Reason codes'!$B$4:$B$14))</f>
        <v/>
      </c>
    </row>
    <row r="50" ht="15.75" customHeight="1">
      <c r="A50" s="3" t="s">
        <v>36</v>
      </c>
      <c r="B50" s="3">
        <v>49.0</v>
      </c>
      <c r="C50" s="3" t="s">
        <v>37</v>
      </c>
      <c r="D50" s="3" t="s">
        <v>99</v>
      </c>
      <c r="E50" s="3" t="s">
        <v>103</v>
      </c>
      <c r="F50" s="3" t="s">
        <v>40</v>
      </c>
      <c r="G50" s="3">
        <v>18.0</v>
      </c>
      <c r="H50" s="3">
        <v>853.0</v>
      </c>
      <c r="I50" s="3">
        <v>1.0</v>
      </c>
      <c r="J50" s="3">
        <v>645.0</v>
      </c>
      <c r="K50" s="3">
        <v>879.0</v>
      </c>
      <c r="L50" s="3">
        <v>13.0</v>
      </c>
      <c r="M50" s="3">
        <v>49.0</v>
      </c>
      <c r="N50" s="3">
        <v>31.0</v>
      </c>
      <c r="O50" s="3">
        <v>583.0</v>
      </c>
      <c r="P50" s="3">
        <v>4.0</v>
      </c>
      <c r="Q50" s="3">
        <v>2.0</v>
      </c>
      <c r="R50" s="3">
        <v>6.0</v>
      </c>
      <c r="S50" s="3">
        <v>7.0</v>
      </c>
      <c r="T50" s="3">
        <v>19.0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/>
      <c r="AB50" s="3">
        <v>2.0</v>
      </c>
      <c r="AC50" s="3">
        <v>3.0</v>
      </c>
      <c r="AD50" s="3">
        <v>2.0</v>
      </c>
      <c r="AE50" s="3">
        <v>3.0</v>
      </c>
      <c r="AF50" s="3">
        <v>0.0</v>
      </c>
      <c r="AG50" s="3">
        <v>0.0</v>
      </c>
      <c r="AH50" s="3">
        <v>760.0</v>
      </c>
      <c r="AI50" s="3">
        <v>850.0</v>
      </c>
      <c r="AJ50" s="3" t="str">
        <f t="array" ref="AJ50">IF(AA50="", "", XLOOKUP(AA50, 'Appendix B - Reason codes'!$A$4:$A$14, 'Appendix B - Reason codes'!$B$4:$B$14))</f>
        <v/>
      </c>
    </row>
    <row r="51" ht="15.75" customHeight="1">
      <c r="A51" s="3" t="s">
        <v>36</v>
      </c>
      <c r="B51" s="3">
        <v>50.0</v>
      </c>
      <c r="C51" s="3" t="s">
        <v>37</v>
      </c>
      <c r="D51" s="3" t="s">
        <v>99</v>
      </c>
      <c r="E51" s="3" t="s">
        <v>104</v>
      </c>
      <c r="F51" s="3" t="s">
        <v>40</v>
      </c>
      <c r="G51" s="3">
        <v>50.0</v>
      </c>
      <c r="H51" s="3">
        <v>7343.0</v>
      </c>
      <c r="I51" s="3">
        <v>11.0</v>
      </c>
      <c r="J51" s="3">
        <v>5940.0</v>
      </c>
      <c r="K51" s="3">
        <v>7545.0</v>
      </c>
      <c r="L51" s="3">
        <v>29.0</v>
      </c>
      <c r="M51" s="3">
        <v>465.0</v>
      </c>
      <c r="N51" s="3">
        <v>169.0</v>
      </c>
      <c r="O51" s="3">
        <v>5472.0</v>
      </c>
      <c r="P51" s="3">
        <v>231.0</v>
      </c>
      <c r="Q51" s="3">
        <v>178.0</v>
      </c>
      <c r="R51" s="3">
        <v>291.0</v>
      </c>
      <c r="S51" s="3">
        <v>72.0</v>
      </c>
      <c r="T51" s="3">
        <v>772.0</v>
      </c>
      <c r="U51" s="3">
        <v>4.0</v>
      </c>
      <c r="V51" s="3">
        <v>7.0</v>
      </c>
      <c r="W51" s="3">
        <v>3.0</v>
      </c>
      <c r="X51" s="3">
        <v>5.0</v>
      </c>
      <c r="Y51" s="3">
        <v>1.0</v>
      </c>
      <c r="Z51" s="3">
        <v>2.0</v>
      </c>
      <c r="AA51" s="3" t="s">
        <v>73</v>
      </c>
      <c r="AB51" s="3">
        <v>10.0</v>
      </c>
      <c r="AC51" s="3">
        <v>14.0</v>
      </c>
      <c r="AD51" s="3">
        <v>9.0</v>
      </c>
      <c r="AE51" s="3">
        <v>13.0</v>
      </c>
      <c r="AF51" s="3">
        <v>1.0</v>
      </c>
      <c r="AG51" s="3">
        <v>1.0</v>
      </c>
      <c r="AH51" s="3">
        <v>6789.0</v>
      </c>
      <c r="AI51" s="3">
        <v>7600.0</v>
      </c>
      <c r="AJ51" s="3" t="str">
        <f t="array" ref="AJ51">IF(AA51="", "", XLOOKUP(AA51, 'Appendix B - Reason codes'!$A$4:$A$14, 'Appendix B - Reason codes'!$B$4:$B$14))</f>
        <v>Has an alternative to the vaccine</v>
      </c>
    </row>
    <row r="52" ht="15.75" customHeight="1">
      <c r="A52" s="3" t="s">
        <v>36</v>
      </c>
      <c r="B52" s="3">
        <v>51.0</v>
      </c>
      <c r="C52" s="3" t="s">
        <v>37</v>
      </c>
      <c r="D52" s="3" t="s">
        <v>99</v>
      </c>
      <c r="E52" s="3" t="s">
        <v>105</v>
      </c>
      <c r="F52" s="3" t="s">
        <v>40</v>
      </c>
      <c r="G52" s="3">
        <v>28.0</v>
      </c>
      <c r="H52" s="3">
        <v>1850.0</v>
      </c>
      <c r="I52" s="3">
        <v>2.0</v>
      </c>
      <c r="J52" s="3">
        <v>1656.0</v>
      </c>
      <c r="K52" s="3">
        <v>1928.0</v>
      </c>
      <c r="L52" s="3">
        <v>39.0</v>
      </c>
      <c r="M52" s="3">
        <v>126.0</v>
      </c>
      <c r="N52" s="3">
        <v>72.0</v>
      </c>
      <c r="O52" s="3">
        <v>1009.0</v>
      </c>
      <c r="P52" s="3">
        <v>61.0</v>
      </c>
      <c r="Q52" s="3">
        <v>30.0</v>
      </c>
      <c r="R52" s="3">
        <v>65.0</v>
      </c>
      <c r="S52" s="3">
        <v>5.0</v>
      </c>
      <c r="T52" s="3">
        <v>161.0</v>
      </c>
      <c r="U52" s="3">
        <v>2.0</v>
      </c>
      <c r="V52" s="3">
        <v>4.0</v>
      </c>
      <c r="W52" s="3">
        <v>1.0</v>
      </c>
      <c r="X52" s="3">
        <v>3.0</v>
      </c>
      <c r="Y52" s="3">
        <v>1.0</v>
      </c>
      <c r="Z52" s="3">
        <v>1.0</v>
      </c>
      <c r="AA52" s="3" t="s">
        <v>61</v>
      </c>
      <c r="AB52" s="3">
        <v>4.0</v>
      </c>
      <c r="AC52" s="3">
        <v>8.0</v>
      </c>
      <c r="AD52" s="3">
        <v>3.0</v>
      </c>
      <c r="AE52" s="3">
        <v>6.0</v>
      </c>
      <c r="AF52" s="3">
        <v>1.0</v>
      </c>
      <c r="AG52" s="3">
        <v>2.0</v>
      </c>
      <c r="AH52" s="3">
        <v>1631.0</v>
      </c>
      <c r="AI52" s="3">
        <v>1800.0</v>
      </c>
      <c r="AJ52" s="3" t="str">
        <f t="array" ref="AJ52">IF(AA52="", "", XLOOKUP(AA52, 'Appendix B - Reason codes'!$A$4:$A$14, 'Appendix B - Reason codes'!$B$4:$B$14))</f>
        <v>No reason given</v>
      </c>
    </row>
    <row r="53" ht="15.75" customHeight="1">
      <c r="A53" s="3" t="s">
        <v>36</v>
      </c>
      <c r="B53" s="3">
        <v>52.0</v>
      </c>
      <c r="C53" s="3" t="s">
        <v>37</v>
      </c>
      <c r="D53" s="3" t="s">
        <v>99</v>
      </c>
      <c r="E53" s="3" t="s">
        <v>106</v>
      </c>
      <c r="F53" s="3" t="s">
        <v>40</v>
      </c>
      <c r="G53" s="3">
        <v>7.0</v>
      </c>
      <c r="H53" s="3">
        <v>773.0</v>
      </c>
      <c r="I53" s="3">
        <v>1.0</v>
      </c>
      <c r="J53" s="3">
        <v>645.0</v>
      </c>
      <c r="K53" s="3">
        <v>823.0</v>
      </c>
      <c r="L53" s="3">
        <v>11.0</v>
      </c>
      <c r="M53" s="3">
        <v>18.0</v>
      </c>
      <c r="N53" s="3">
        <v>23.0</v>
      </c>
      <c r="O53" s="3">
        <v>527.0</v>
      </c>
      <c r="P53" s="3">
        <v>27.0</v>
      </c>
      <c r="Q53" s="3">
        <v>18.0</v>
      </c>
      <c r="R53" s="3">
        <v>31.0</v>
      </c>
      <c r="S53" s="3">
        <v>15.0</v>
      </c>
      <c r="T53" s="3">
        <v>91.0</v>
      </c>
      <c r="U53" s="3">
        <v>1.0</v>
      </c>
      <c r="V53" s="3">
        <v>2.0</v>
      </c>
      <c r="W53" s="3">
        <v>1.0</v>
      </c>
      <c r="X53" s="3">
        <v>1.0</v>
      </c>
      <c r="Y53" s="3">
        <v>0.0</v>
      </c>
      <c r="Z53" s="3">
        <v>1.0</v>
      </c>
      <c r="AA53" s="3" t="s">
        <v>61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679.0</v>
      </c>
      <c r="AI53" s="3">
        <v>800.0</v>
      </c>
      <c r="AJ53" s="3" t="str">
        <f t="array" ref="AJ53">IF(AA53="", "", XLOOKUP(AA53, 'Appendix B - Reason codes'!$A$4:$A$14, 'Appendix B - Reason codes'!$B$4:$B$14))</f>
        <v>No reason given</v>
      </c>
    </row>
    <row r="54" ht="15.75" customHeight="1">
      <c r="A54" s="3" t="s">
        <v>36</v>
      </c>
      <c r="B54" s="3">
        <v>53.0</v>
      </c>
      <c r="C54" s="3" t="s">
        <v>37</v>
      </c>
      <c r="D54" s="3" t="s">
        <v>99</v>
      </c>
      <c r="E54" s="3" t="s">
        <v>107</v>
      </c>
      <c r="F54" s="3" t="s">
        <v>40</v>
      </c>
      <c r="G54" s="3">
        <v>26.0</v>
      </c>
      <c r="H54" s="3">
        <v>13021.0</v>
      </c>
      <c r="I54" s="3">
        <v>20.0</v>
      </c>
      <c r="J54" s="3">
        <v>11208.0</v>
      </c>
      <c r="K54" s="3">
        <v>14282.0</v>
      </c>
      <c r="L54" s="3">
        <v>121.0</v>
      </c>
      <c r="M54" s="3">
        <v>726.0</v>
      </c>
      <c r="N54" s="3">
        <v>294.0</v>
      </c>
      <c r="O54" s="3">
        <v>6726.0</v>
      </c>
      <c r="P54" s="3">
        <v>110.0</v>
      </c>
      <c r="Q54" s="3">
        <v>124.0</v>
      </c>
      <c r="R54" s="3">
        <v>567.0</v>
      </c>
      <c r="S54" s="3">
        <v>152.0</v>
      </c>
      <c r="T54" s="3">
        <v>953.0</v>
      </c>
      <c r="U54" s="3">
        <v>14.0</v>
      </c>
      <c r="V54" s="3">
        <v>30.0</v>
      </c>
      <c r="W54" s="3">
        <v>8.0</v>
      </c>
      <c r="X54" s="3">
        <v>18.0</v>
      </c>
      <c r="Y54" s="3">
        <v>6.0</v>
      </c>
      <c r="Z54" s="3">
        <v>12.0</v>
      </c>
      <c r="AA54" s="3" t="s">
        <v>78</v>
      </c>
      <c r="AB54" s="3">
        <v>16.0</v>
      </c>
      <c r="AC54" s="3">
        <v>28.0</v>
      </c>
      <c r="AD54" s="3">
        <v>13.0</v>
      </c>
      <c r="AE54" s="3">
        <v>22.0</v>
      </c>
      <c r="AF54" s="3">
        <v>3.0</v>
      </c>
      <c r="AG54" s="3">
        <v>6.0</v>
      </c>
      <c r="AH54" s="3">
        <v>11513.0</v>
      </c>
      <c r="AI54" s="3">
        <v>12650.0</v>
      </c>
      <c r="AJ54" s="3" t="str">
        <f t="array" ref="AJ54">IF(AA54="", "", XLOOKUP(AA54, 'Appendix B - Reason codes'!$A$4:$A$14, 'Appendix B - Reason codes'!$B$4:$B$14))</f>
        <v>Child sick</v>
      </c>
    </row>
    <row r="55" ht="15.75" customHeight="1">
      <c r="A55" s="3" t="s">
        <v>36</v>
      </c>
      <c r="B55" s="3">
        <v>54.0</v>
      </c>
      <c r="C55" s="3" t="s">
        <v>37</v>
      </c>
      <c r="D55" s="3" t="s">
        <v>99</v>
      </c>
      <c r="E55" s="3" t="s">
        <v>108</v>
      </c>
      <c r="F55" s="3" t="s">
        <v>40</v>
      </c>
      <c r="G55" s="3">
        <v>36.0</v>
      </c>
      <c r="H55" s="3">
        <v>1892.0</v>
      </c>
      <c r="I55" s="3">
        <v>2.0</v>
      </c>
      <c r="J55" s="3">
        <v>1748.0</v>
      </c>
      <c r="K55" s="3">
        <v>2114.0</v>
      </c>
      <c r="L55" s="3">
        <v>43.0</v>
      </c>
      <c r="M55" s="3">
        <v>127.0</v>
      </c>
      <c r="N55" s="3">
        <v>18.0</v>
      </c>
      <c r="O55" s="3">
        <v>1199.0</v>
      </c>
      <c r="P55" s="3">
        <v>62.0</v>
      </c>
      <c r="Q55" s="3">
        <v>63.0</v>
      </c>
      <c r="R55" s="3">
        <v>25.0</v>
      </c>
      <c r="S55" s="3">
        <v>31.0</v>
      </c>
      <c r="T55" s="3">
        <v>181.0</v>
      </c>
      <c r="U55" s="3">
        <v>1.0</v>
      </c>
      <c r="V55" s="3">
        <v>2.0</v>
      </c>
      <c r="W55" s="3">
        <v>1.0</v>
      </c>
      <c r="X55" s="3">
        <v>1.0</v>
      </c>
      <c r="Y55" s="3">
        <v>0.0</v>
      </c>
      <c r="Z55" s="3">
        <v>1.0</v>
      </c>
      <c r="AA55" s="3" t="s">
        <v>43</v>
      </c>
      <c r="AB55" s="3">
        <v>1.0</v>
      </c>
      <c r="AC55" s="3">
        <v>2.0</v>
      </c>
      <c r="AD55" s="3">
        <v>1.0</v>
      </c>
      <c r="AE55" s="3">
        <v>2.0</v>
      </c>
      <c r="AF55" s="3">
        <v>0.0</v>
      </c>
      <c r="AG55" s="3">
        <v>0.0</v>
      </c>
      <c r="AH55" s="3">
        <v>1606.0</v>
      </c>
      <c r="AI55" s="3">
        <v>1800.0</v>
      </c>
      <c r="AJ55" s="3" t="str">
        <f t="array" ref="AJ55">IF(AA55="", "", XLOOKUP(AA55, 'Appendix B - Reason codes'!$A$4:$A$14, 'Appendix B - Reason codes'!$B$4:$B$14))</f>
        <v>Unhappy (with the team / programme)</v>
      </c>
    </row>
    <row r="56" ht="15.75" customHeight="1">
      <c r="A56" s="3" t="s">
        <v>36</v>
      </c>
      <c r="B56" s="3">
        <v>55.0</v>
      </c>
      <c r="C56" s="3" t="s">
        <v>37</v>
      </c>
      <c r="D56" s="3" t="s">
        <v>99</v>
      </c>
      <c r="E56" s="3" t="s">
        <v>109</v>
      </c>
      <c r="F56" s="3" t="s">
        <v>40</v>
      </c>
      <c r="G56" s="3">
        <v>42.0</v>
      </c>
      <c r="H56" s="3">
        <v>2903.0</v>
      </c>
      <c r="I56" s="3">
        <v>4.0</v>
      </c>
      <c r="J56" s="3">
        <v>2832.0</v>
      </c>
      <c r="K56" s="3">
        <v>3026.0</v>
      </c>
      <c r="L56" s="3">
        <v>35.0</v>
      </c>
      <c r="M56" s="3">
        <v>59.0</v>
      </c>
      <c r="N56" s="3">
        <v>68.0</v>
      </c>
      <c r="O56" s="3">
        <v>1600.0</v>
      </c>
      <c r="P56" s="3">
        <v>40.0</v>
      </c>
      <c r="Q56" s="3">
        <v>41.0</v>
      </c>
      <c r="R56" s="3">
        <v>38.0</v>
      </c>
      <c r="S56" s="3">
        <v>59.0</v>
      </c>
      <c r="T56" s="3">
        <v>178.0</v>
      </c>
      <c r="U56" s="3">
        <v>2.0</v>
      </c>
      <c r="V56" s="3">
        <v>4.0</v>
      </c>
      <c r="W56" s="3">
        <v>1.0</v>
      </c>
      <c r="X56" s="3">
        <v>2.0</v>
      </c>
      <c r="Y56" s="3">
        <v>1.0</v>
      </c>
      <c r="Z56" s="3">
        <v>2.0</v>
      </c>
      <c r="AA56" s="3" t="s">
        <v>46</v>
      </c>
      <c r="AB56" s="3">
        <v>3.0</v>
      </c>
      <c r="AC56" s="3">
        <v>5.0</v>
      </c>
      <c r="AD56" s="3">
        <v>3.0</v>
      </c>
      <c r="AE56" s="3">
        <v>4.0</v>
      </c>
      <c r="AF56" s="3">
        <v>0.0</v>
      </c>
      <c r="AG56" s="3">
        <v>1.0</v>
      </c>
      <c r="AH56" s="3">
        <v>2617.0</v>
      </c>
      <c r="AI56" s="3">
        <v>2850.0</v>
      </c>
      <c r="AJ56" s="3" t="str">
        <f t="array" ref="AJ56">IF(AA56="", "", XLOOKUP(AA56, 'Appendix B - Reason codes'!$A$4:$A$14, 'Appendix B - Reason codes'!$B$4:$B$14))</f>
        <v>Father didn’t allow</v>
      </c>
    </row>
    <row r="57" ht="15.75" customHeight="1">
      <c r="A57" s="3" t="s">
        <v>36</v>
      </c>
      <c r="B57" s="3">
        <v>56.0</v>
      </c>
      <c r="C57" s="3" t="s">
        <v>37</v>
      </c>
      <c r="D57" s="3" t="s">
        <v>99</v>
      </c>
      <c r="E57" s="3" t="s">
        <v>110</v>
      </c>
      <c r="F57" s="3" t="s">
        <v>40</v>
      </c>
      <c r="G57" s="3">
        <v>31.0</v>
      </c>
      <c r="H57" s="3">
        <v>3181.0</v>
      </c>
      <c r="I57" s="3">
        <v>4.0</v>
      </c>
      <c r="J57" s="3">
        <v>2552.0</v>
      </c>
      <c r="K57" s="3">
        <v>3529.0</v>
      </c>
      <c r="L57" s="3">
        <v>101.0</v>
      </c>
      <c r="M57" s="3">
        <v>236.0</v>
      </c>
      <c r="N57" s="3">
        <v>34.0</v>
      </c>
      <c r="O57" s="3">
        <v>1634.0</v>
      </c>
      <c r="P57" s="3">
        <v>121.0</v>
      </c>
      <c r="Q57" s="3">
        <v>66.0</v>
      </c>
      <c r="R57" s="3">
        <v>38.0</v>
      </c>
      <c r="S57" s="3">
        <v>74.0</v>
      </c>
      <c r="T57" s="3">
        <v>299.0</v>
      </c>
      <c r="U57" s="3">
        <v>2.0</v>
      </c>
      <c r="V57" s="3">
        <v>4.0</v>
      </c>
      <c r="W57" s="3">
        <v>1.0</v>
      </c>
      <c r="X57" s="3">
        <v>3.0</v>
      </c>
      <c r="Y57" s="3">
        <v>1.0</v>
      </c>
      <c r="Z57" s="3">
        <v>1.0</v>
      </c>
      <c r="AA57" s="3" t="s">
        <v>51</v>
      </c>
      <c r="AB57" s="3">
        <v>7.0</v>
      </c>
      <c r="AC57" s="3">
        <v>13.0</v>
      </c>
      <c r="AD57" s="3">
        <v>7.0</v>
      </c>
      <c r="AE57" s="3">
        <v>12.0</v>
      </c>
      <c r="AF57" s="3">
        <v>0.0</v>
      </c>
      <c r="AG57" s="3">
        <v>1.0</v>
      </c>
      <c r="AH57" s="3">
        <v>2850.0</v>
      </c>
      <c r="AI57" s="3">
        <v>3100.0</v>
      </c>
      <c r="AJ57" s="3" t="str">
        <f t="array" ref="AJ57">IF(AA57="", "", XLOOKUP(AA57, 'Appendix B - Reason codes'!$A$4:$A$14, 'Appendix B - Reason codes'!$B$4:$B$14))</f>
        <v>Religious belief</v>
      </c>
    </row>
    <row r="58" ht="15.75" customHeight="1">
      <c r="A58" s="3" t="s">
        <v>36</v>
      </c>
      <c r="B58" s="3">
        <v>57.0</v>
      </c>
      <c r="C58" s="3" t="s">
        <v>37</v>
      </c>
      <c r="D58" s="3" t="s">
        <v>111</v>
      </c>
      <c r="E58" s="3" t="s">
        <v>112</v>
      </c>
      <c r="F58" s="3" t="s">
        <v>40</v>
      </c>
      <c r="G58" s="3">
        <v>19.0</v>
      </c>
      <c r="H58" s="3">
        <v>6741.0</v>
      </c>
      <c r="I58" s="3">
        <v>10.0</v>
      </c>
      <c r="J58" s="3">
        <v>6190.0</v>
      </c>
      <c r="K58" s="3">
        <v>6817.0</v>
      </c>
      <c r="L58" s="3">
        <v>45.0</v>
      </c>
      <c r="M58" s="3">
        <v>325.0</v>
      </c>
      <c r="N58" s="3">
        <v>87.0</v>
      </c>
      <c r="O58" s="3">
        <v>3635.0</v>
      </c>
      <c r="P58" s="3">
        <v>12.0</v>
      </c>
      <c r="Q58" s="3">
        <v>66.0</v>
      </c>
      <c r="R58" s="3">
        <v>163.0</v>
      </c>
      <c r="S58" s="3">
        <v>151.0</v>
      </c>
      <c r="T58" s="3">
        <v>392.0</v>
      </c>
      <c r="U58" s="3">
        <v>3.0</v>
      </c>
      <c r="V58" s="3">
        <v>5.0</v>
      </c>
      <c r="W58" s="3">
        <v>2.0</v>
      </c>
      <c r="X58" s="3">
        <v>4.0</v>
      </c>
      <c r="Y58" s="3">
        <v>1.0</v>
      </c>
      <c r="Z58" s="3">
        <v>1.0</v>
      </c>
      <c r="AA58" s="3" t="s">
        <v>51</v>
      </c>
      <c r="AB58" s="3">
        <v>9.0</v>
      </c>
      <c r="AC58" s="3">
        <v>17.0</v>
      </c>
      <c r="AD58" s="3">
        <v>6.0</v>
      </c>
      <c r="AE58" s="3">
        <v>12.0</v>
      </c>
      <c r="AF58" s="3">
        <v>3.0</v>
      </c>
      <c r="AG58" s="3">
        <v>5.0</v>
      </c>
      <c r="AH58" s="3">
        <v>5796.0</v>
      </c>
      <c r="AI58" s="3">
        <v>6400.0</v>
      </c>
      <c r="AJ58" s="3" t="str">
        <f t="array" ref="AJ58">IF(AA58="", "", XLOOKUP(AA58, 'Appendix B - Reason codes'!$A$4:$A$14, 'Appendix B - Reason codes'!$B$4:$B$14))</f>
        <v>Religious belief</v>
      </c>
    </row>
    <row r="59" ht="15.75" customHeight="1">
      <c r="A59" s="3" t="s">
        <v>36</v>
      </c>
      <c r="B59" s="3">
        <v>58.0</v>
      </c>
      <c r="C59" s="3" t="s">
        <v>37</v>
      </c>
      <c r="D59" s="3" t="s">
        <v>111</v>
      </c>
      <c r="E59" s="3" t="s">
        <v>113</v>
      </c>
      <c r="F59" s="3" t="s">
        <v>40</v>
      </c>
      <c r="G59" s="3">
        <v>41.0</v>
      </c>
      <c r="H59" s="3">
        <v>9981.0</v>
      </c>
      <c r="I59" s="3">
        <v>15.0</v>
      </c>
      <c r="J59" s="3">
        <v>8028.0</v>
      </c>
      <c r="K59" s="3">
        <v>10693.0</v>
      </c>
      <c r="L59" s="3">
        <v>178.0</v>
      </c>
      <c r="M59" s="3">
        <v>790.0</v>
      </c>
      <c r="N59" s="3">
        <v>72.0</v>
      </c>
      <c r="O59" s="3">
        <v>5389.0</v>
      </c>
      <c r="P59" s="3">
        <v>66.0</v>
      </c>
      <c r="Q59" s="3">
        <v>38.0</v>
      </c>
      <c r="R59" s="3">
        <v>247.0</v>
      </c>
      <c r="S59" s="3">
        <v>21.0</v>
      </c>
      <c r="T59" s="3">
        <v>372.0</v>
      </c>
      <c r="U59" s="3">
        <v>7.0</v>
      </c>
      <c r="V59" s="3">
        <v>15.0</v>
      </c>
      <c r="W59" s="3">
        <v>6.0</v>
      </c>
      <c r="X59" s="3">
        <v>12.0</v>
      </c>
      <c r="Y59" s="3">
        <v>1.0</v>
      </c>
      <c r="Z59" s="3">
        <v>3.0</v>
      </c>
      <c r="AA59" s="3" t="s">
        <v>59</v>
      </c>
      <c r="AB59" s="3">
        <v>8.0</v>
      </c>
      <c r="AC59" s="3">
        <v>16.0</v>
      </c>
      <c r="AD59" s="3">
        <v>6.0</v>
      </c>
      <c r="AE59" s="3">
        <v>11.0</v>
      </c>
      <c r="AF59" s="3">
        <v>2.0</v>
      </c>
      <c r="AG59" s="3">
        <v>5.0</v>
      </c>
      <c r="AH59" s="3">
        <v>8701.0</v>
      </c>
      <c r="AI59" s="3">
        <v>9650.0</v>
      </c>
      <c r="AJ59" s="3" t="str">
        <f t="array" ref="AJ59">IF(AA59="", "", XLOOKUP(AA59, 'Appendix B - Reason codes'!$A$4:$A$14, 'Appendix B - Reason codes'!$B$4:$B$14))</f>
        <v>Concerned about adverse effect</v>
      </c>
    </row>
    <row r="60" ht="15.75" customHeight="1">
      <c r="A60" s="3" t="s">
        <v>36</v>
      </c>
      <c r="B60" s="3">
        <v>59.0</v>
      </c>
      <c r="C60" s="3" t="s">
        <v>37</v>
      </c>
      <c r="D60" s="3" t="s">
        <v>111</v>
      </c>
      <c r="E60" s="3" t="s">
        <v>114</v>
      </c>
      <c r="F60" s="3" t="s">
        <v>40</v>
      </c>
      <c r="G60" s="3">
        <v>26.0</v>
      </c>
      <c r="H60" s="3">
        <v>17391.0</v>
      </c>
      <c r="I60" s="3">
        <v>26.0</v>
      </c>
      <c r="J60" s="3">
        <v>12997.0</v>
      </c>
      <c r="K60" s="3">
        <v>18253.0</v>
      </c>
      <c r="L60" s="3">
        <v>470.0</v>
      </c>
      <c r="M60" s="3">
        <v>283.0</v>
      </c>
      <c r="N60" s="3">
        <v>229.0</v>
      </c>
      <c r="O60" s="3">
        <v>10084.0</v>
      </c>
      <c r="P60" s="3">
        <v>657.0</v>
      </c>
      <c r="Q60" s="3">
        <v>433.0</v>
      </c>
      <c r="R60" s="3">
        <v>292.0</v>
      </c>
      <c r="S60" s="3">
        <v>298.0</v>
      </c>
      <c r="T60" s="3">
        <v>1680.0</v>
      </c>
      <c r="U60" s="3">
        <v>7.0</v>
      </c>
      <c r="V60" s="3">
        <v>14.0</v>
      </c>
      <c r="W60" s="3">
        <v>4.0</v>
      </c>
      <c r="X60" s="3">
        <v>8.0</v>
      </c>
      <c r="Y60" s="3">
        <v>3.0</v>
      </c>
      <c r="Z60" s="3">
        <v>6.0</v>
      </c>
      <c r="AA60" s="3" t="s">
        <v>41</v>
      </c>
      <c r="AB60" s="3">
        <v>22.0</v>
      </c>
      <c r="AC60" s="3">
        <v>34.0</v>
      </c>
      <c r="AD60" s="3">
        <v>16.0</v>
      </c>
      <c r="AE60" s="3">
        <v>24.0</v>
      </c>
      <c r="AF60" s="3">
        <v>6.0</v>
      </c>
      <c r="AG60" s="3">
        <v>10.0</v>
      </c>
      <c r="AH60" s="3">
        <v>15146.0</v>
      </c>
      <c r="AI60" s="3">
        <v>16850.0</v>
      </c>
      <c r="AJ60" s="3" t="str">
        <f t="array" ref="AJ60">IF(AA60="", "", XLOOKUP(AA60, 'Appendix B - Reason codes'!$A$4:$A$14, 'Appendix B - Reason codes'!$B$4:$B$14))</f>
        <v>Fatigue from many rounds</v>
      </c>
    </row>
    <row r="61" ht="15.75" customHeight="1">
      <c r="A61" s="3" t="s">
        <v>36</v>
      </c>
      <c r="B61" s="3">
        <v>60.0</v>
      </c>
      <c r="C61" s="3" t="s">
        <v>37</v>
      </c>
      <c r="D61" s="3" t="s">
        <v>111</v>
      </c>
      <c r="E61" s="3" t="s">
        <v>115</v>
      </c>
      <c r="F61" s="3" t="s">
        <v>40</v>
      </c>
      <c r="G61" s="3">
        <v>20.0</v>
      </c>
      <c r="H61" s="3">
        <v>6302.0</v>
      </c>
      <c r="I61" s="3">
        <v>9.0</v>
      </c>
      <c r="J61" s="3">
        <v>5756.0</v>
      </c>
      <c r="K61" s="3">
        <v>6582.0</v>
      </c>
      <c r="L61" s="3">
        <v>214.0</v>
      </c>
      <c r="M61" s="3">
        <v>199.0</v>
      </c>
      <c r="N61" s="3">
        <v>230.0</v>
      </c>
      <c r="O61" s="3">
        <v>3285.0</v>
      </c>
      <c r="P61" s="3">
        <v>186.0</v>
      </c>
      <c r="Q61" s="3">
        <v>24.0</v>
      </c>
      <c r="R61" s="3">
        <v>157.0</v>
      </c>
      <c r="S61" s="3">
        <v>45.0</v>
      </c>
      <c r="T61" s="3">
        <v>412.0</v>
      </c>
      <c r="U61" s="3">
        <v>4.0</v>
      </c>
      <c r="V61" s="3">
        <v>8.0</v>
      </c>
      <c r="W61" s="3">
        <v>2.0</v>
      </c>
      <c r="X61" s="3">
        <v>5.0</v>
      </c>
      <c r="Y61" s="3">
        <v>2.0</v>
      </c>
      <c r="Z61" s="3">
        <v>3.0</v>
      </c>
      <c r="AA61" s="3" t="s">
        <v>41</v>
      </c>
      <c r="AB61" s="3">
        <v>4.0</v>
      </c>
      <c r="AC61" s="3">
        <v>6.0</v>
      </c>
      <c r="AD61" s="3">
        <v>3.0</v>
      </c>
      <c r="AE61" s="3">
        <v>4.0</v>
      </c>
      <c r="AF61" s="3">
        <v>1.0</v>
      </c>
      <c r="AG61" s="3">
        <v>2.0</v>
      </c>
      <c r="AH61" s="3">
        <v>5952.0</v>
      </c>
      <c r="AI61" s="3">
        <v>6600.0</v>
      </c>
      <c r="AJ61" s="3" t="str">
        <f t="array" ref="AJ61">IF(AA61="", "", XLOOKUP(AA61, 'Appendix B - Reason codes'!$A$4:$A$14, 'Appendix B - Reason codes'!$B$4:$B$14))</f>
        <v>Fatigue from many rounds</v>
      </c>
    </row>
    <row r="62" ht="15.75" customHeight="1">
      <c r="A62" s="3" t="s">
        <v>36</v>
      </c>
      <c r="B62" s="3">
        <v>61.0</v>
      </c>
      <c r="C62" s="3" t="s">
        <v>37</v>
      </c>
      <c r="D62" s="3" t="s">
        <v>116</v>
      </c>
      <c r="E62" s="3" t="s">
        <v>117</v>
      </c>
      <c r="F62" s="3" t="s">
        <v>40</v>
      </c>
      <c r="G62" s="3">
        <v>29.0</v>
      </c>
      <c r="H62" s="3">
        <v>6157.0</v>
      </c>
      <c r="I62" s="3">
        <v>9.0</v>
      </c>
      <c r="J62" s="3">
        <v>5137.0</v>
      </c>
      <c r="K62" s="3">
        <v>6513.0</v>
      </c>
      <c r="L62" s="3">
        <v>52.0</v>
      </c>
      <c r="M62" s="3">
        <v>253.0</v>
      </c>
      <c r="N62" s="3">
        <v>16.0</v>
      </c>
      <c r="O62" s="3">
        <v>3611.0</v>
      </c>
      <c r="P62" s="3">
        <v>21.0</v>
      </c>
      <c r="Q62" s="3">
        <v>18.0</v>
      </c>
      <c r="R62" s="3">
        <v>7.0</v>
      </c>
      <c r="S62" s="3">
        <v>109.0</v>
      </c>
      <c r="T62" s="3">
        <v>155.0</v>
      </c>
      <c r="U62" s="3">
        <v>3.0</v>
      </c>
      <c r="V62" s="3">
        <v>5.0</v>
      </c>
      <c r="W62" s="3">
        <v>2.0</v>
      </c>
      <c r="X62" s="3">
        <v>3.0</v>
      </c>
      <c r="Y62" s="3">
        <v>1.0</v>
      </c>
      <c r="Z62" s="3">
        <v>2.0</v>
      </c>
      <c r="AA62" s="3" t="s">
        <v>51</v>
      </c>
      <c r="AB62" s="3">
        <v>4.0</v>
      </c>
      <c r="AC62" s="3">
        <v>5.0</v>
      </c>
      <c r="AD62" s="3">
        <v>3.0</v>
      </c>
      <c r="AE62" s="3">
        <v>4.0</v>
      </c>
      <c r="AF62" s="3">
        <v>1.0</v>
      </c>
      <c r="AG62" s="3">
        <v>1.0</v>
      </c>
      <c r="AH62" s="3">
        <v>5638.0</v>
      </c>
      <c r="AI62" s="3">
        <v>6200.0</v>
      </c>
      <c r="AJ62" s="3" t="str">
        <f t="array" ref="AJ62">IF(AA62="", "", XLOOKUP(AA62, 'Appendix B - Reason codes'!$A$4:$A$14, 'Appendix B - Reason codes'!$B$4:$B$14))</f>
        <v>Religious belief</v>
      </c>
    </row>
    <row r="63" ht="15.75" customHeight="1">
      <c r="A63" s="3" t="s">
        <v>36</v>
      </c>
      <c r="B63" s="3">
        <v>62.0</v>
      </c>
      <c r="C63" s="3" t="s">
        <v>37</v>
      </c>
      <c r="D63" s="3" t="s">
        <v>116</v>
      </c>
      <c r="E63" s="3" t="s">
        <v>118</v>
      </c>
      <c r="F63" s="3" t="s">
        <v>40</v>
      </c>
      <c r="G63" s="3">
        <v>34.0</v>
      </c>
      <c r="H63" s="3">
        <v>6733.0</v>
      </c>
      <c r="I63" s="3">
        <v>10.0</v>
      </c>
      <c r="J63" s="3">
        <v>6508.0</v>
      </c>
      <c r="K63" s="3">
        <v>6801.0</v>
      </c>
      <c r="L63" s="3">
        <v>221.0</v>
      </c>
      <c r="M63" s="3">
        <v>458.0</v>
      </c>
      <c r="N63" s="3">
        <v>219.0</v>
      </c>
      <c r="O63" s="3">
        <v>3472.0</v>
      </c>
      <c r="P63" s="3">
        <v>146.0</v>
      </c>
      <c r="Q63" s="3">
        <v>137.0</v>
      </c>
      <c r="R63" s="3">
        <v>212.0</v>
      </c>
      <c r="S63" s="3">
        <v>128.0</v>
      </c>
      <c r="T63" s="3">
        <v>623.0</v>
      </c>
      <c r="U63" s="3">
        <v>3.0</v>
      </c>
      <c r="V63" s="3">
        <v>7.0</v>
      </c>
      <c r="W63" s="3">
        <v>2.0</v>
      </c>
      <c r="X63" s="3">
        <v>5.0</v>
      </c>
      <c r="Y63" s="3">
        <v>1.0</v>
      </c>
      <c r="Z63" s="3">
        <v>2.0</v>
      </c>
      <c r="AA63" s="3" t="s">
        <v>119</v>
      </c>
      <c r="AB63" s="3">
        <v>3.0</v>
      </c>
      <c r="AC63" s="3">
        <v>4.0</v>
      </c>
      <c r="AD63" s="3">
        <v>2.0</v>
      </c>
      <c r="AE63" s="3">
        <v>3.0</v>
      </c>
      <c r="AF63" s="3">
        <v>1.0</v>
      </c>
      <c r="AG63" s="3">
        <v>1.0</v>
      </c>
      <c r="AH63" s="3">
        <v>6110.0</v>
      </c>
      <c r="AI63" s="3">
        <v>6700.0</v>
      </c>
      <c r="AJ63" s="3" t="str">
        <f t="array" ref="AJ63">IF(AA63="", "", XLOOKUP(AA63, 'Appendix B - Reason codes'!$A$4:$A$14, 'Appendix B - Reason codes'!$B$4:$B$14))</f>
        <v>Other (unspecified)</v>
      </c>
    </row>
    <row r="64" ht="15.75" customHeight="1">
      <c r="A64" s="3" t="s">
        <v>36</v>
      </c>
      <c r="B64" s="3">
        <v>63.0</v>
      </c>
      <c r="C64" s="3" t="s">
        <v>37</v>
      </c>
      <c r="D64" s="3" t="s">
        <v>116</v>
      </c>
      <c r="E64" s="3" t="s">
        <v>120</v>
      </c>
      <c r="F64" s="3" t="s">
        <v>40</v>
      </c>
      <c r="G64" s="3">
        <v>43.0</v>
      </c>
      <c r="H64" s="3">
        <v>8535.0</v>
      </c>
      <c r="I64" s="3">
        <v>13.0</v>
      </c>
      <c r="J64" s="3">
        <v>7552.0</v>
      </c>
      <c r="K64" s="3">
        <v>9424.0</v>
      </c>
      <c r="L64" s="3">
        <v>308.0</v>
      </c>
      <c r="M64" s="3">
        <v>551.0</v>
      </c>
      <c r="N64" s="3">
        <v>191.0</v>
      </c>
      <c r="O64" s="3">
        <v>6134.0</v>
      </c>
      <c r="P64" s="3">
        <v>300.0</v>
      </c>
      <c r="Q64" s="3">
        <v>6.0</v>
      </c>
      <c r="R64" s="3">
        <v>57.0</v>
      </c>
      <c r="S64" s="3">
        <v>208.0</v>
      </c>
      <c r="T64" s="3">
        <v>571.0</v>
      </c>
      <c r="U64" s="3">
        <v>4.0</v>
      </c>
      <c r="V64" s="3">
        <v>6.0</v>
      </c>
      <c r="W64" s="3">
        <v>3.0</v>
      </c>
      <c r="X64" s="3">
        <v>5.0</v>
      </c>
      <c r="Y64" s="3">
        <v>1.0</v>
      </c>
      <c r="Z64" s="3">
        <v>1.0</v>
      </c>
      <c r="AA64" s="3" t="s">
        <v>78</v>
      </c>
      <c r="AB64" s="3">
        <v>6.0</v>
      </c>
      <c r="AC64" s="3">
        <v>10.0</v>
      </c>
      <c r="AD64" s="3">
        <v>5.0</v>
      </c>
      <c r="AE64" s="3">
        <v>8.0</v>
      </c>
      <c r="AF64" s="3">
        <v>1.0</v>
      </c>
      <c r="AG64" s="3">
        <v>2.0</v>
      </c>
      <c r="AH64" s="3">
        <v>8075.0</v>
      </c>
      <c r="AI64" s="3">
        <v>8800.0</v>
      </c>
      <c r="AJ64" s="3" t="str">
        <f t="array" ref="AJ64">IF(AA64="", "", XLOOKUP(AA64, 'Appendix B - Reason codes'!$A$4:$A$14, 'Appendix B - Reason codes'!$B$4:$B$14))</f>
        <v>Child sick</v>
      </c>
    </row>
    <row r="65" ht="15.75" customHeight="1">
      <c r="A65" s="3" t="s">
        <v>36</v>
      </c>
      <c r="B65" s="3">
        <v>64.0</v>
      </c>
      <c r="C65" s="3" t="s">
        <v>37</v>
      </c>
      <c r="D65" s="3" t="s">
        <v>116</v>
      </c>
      <c r="E65" s="3" t="s">
        <v>121</v>
      </c>
      <c r="F65" s="3" t="s">
        <v>40</v>
      </c>
      <c r="G65" s="3">
        <v>32.0</v>
      </c>
      <c r="H65" s="3">
        <v>2816.0</v>
      </c>
      <c r="I65" s="3">
        <v>4.0</v>
      </c>
      <c r="J65" s="3">
        <v>2063.0</v>
      </c>
      <c r="K65" s="3">
        <v>2828.0</v>
      </c>
      <c r="L65" s="3">
        <v>22.0</v>
      </c>
      <c r="M65" s="3">
        <v>106.0</v>
      </c>
      <c r="N65" s="3">
        <v>46.0</v>
      </c>
      <c r="O65" s="3">
        <v>2036.0</v>
      </c>
      <c r="P65" s="3">
        <v>110.0</v>
      </c>
      <c r="Q65" s="3">
        <v>70.0</v>
      </c>
      <c r="R65" s="3">
        <v>47.0</v>
      </c>
      <c r="S65" s="3">
        <v>16.0</v>
      </c>
      <c r="T65" s="3">
        <v>243.0</v>
      </c>
      <c r="U65" s="3">
        <v>2.0</v>
      </c>
      <c r="V65" s="3">
        <v>4.0</v>
      </c>
      <c r="W65" s="3">
        <v>2.0</v>
      </c>
      <c r="X65" s="3">
        <v>3.0</v>
      </c>
      <c r="Y65" s="3">
        <v>0.0</v>
      </c>
      <c r="Z65" s="3">
        <v>1.0</v>
      </c>
      <c r="AA65" s="3" t="s">
        <v>51</v>
      </c>
      <c r="AB65" s="3">
        <v>6.0</v>
      </c>
      <c r="AC65" s="3">
        <v>10.0</v>
      </c>
      <c r="AD65" s="3">
        <v>5.0</v>
      </c>
      <c r="AE65" s="3">
        <v>8.0</v>
      </c>
      <c r="AF65" s="3">
        <v>1.0</v>
      </c>
      <c r="AG65" s="3">
        <v>2.0</v>
      </c>
      <c r="AH65" s="3">
        <v>2563.0</v>
      </c>
      <c r="AI65" s="3">
        <v>2800.0</v>
      </c>
      <c r="AJ65" s="3" t="str">
        <f t="array" ref="AJ65">IF(AA65="", "", XLOOKUP(AA65, 'Appendix B - Reason codes'!$A$4:$A$14, 'Appendix B - Reason codes'!$B$4:$B$14))</f>
        <v>Religious belief</v>
      </c>
    </row>
    <row r="66" ht="15.75" customHeight="1">
      <c r="A66" s="3" t="s">
        <v>36</v>
      </c>
      <c r="B66" s="3">
        <v>65.0</v>
      </c>
      <c r="C66" s="3" t="s">
        <v>37</v>
      </c>
      <c r="D66" s="3" t="s">
        <v>116</v>
      </c>
      <c r="E66" s="3" t="s">
        <v>122</v>
      </c>
      <c r="F66" s="3" t="s">
        <v>40</v>
      </c>
      <c r="G66" s="3">
        <v>38.0</v>
      </c>
      <c r="H66" s="3">
        <v>2083.0</v>
      </c>
      <c r="I66" s="3">
        <v>3.0</v>
      </c>
      <c r="J66" s="3">
        <v>1787.0</v>
      </c>
      <c r="K66" s="3">
        <v>2233.0</v>
      </c>
      <c r="L66" s="3">
        <v>26.0</v>
      </c>
      <c r="M66" s="3">
        <v>95.0</v>
      </c>
      <c r="N66" s="3">
        <v>67.0</v>
      </c>
      <c r="O66" s="3">
        <v>1520.0</v>
      </c>
      <c r="P66" s="3">
        <v>84.0</v>
      </c>
      <c r="Q66" s="3">
        <v>57.0</v>
      </c>
      <c r="R66" s="3">
        <v>21.0</v>
      </c>
      <c r="S66" s="3">
        <v>2.0</v>
      </c>
      <c r="T66" s="3">
        <v>164.0</v>
      </c>
      <c r="U66" s="3">
        <v>2.0</v>
      </c>
      <c r="V66" s="3">
        <v>4.0</v>
      </c>
      <c r="W66" s="3">
        <v>1.0</v>
      </c>
      <c r="X66" s="3">
        <v>2.0</v>
      </c>
      <c r="Y66" s="3">
        <v>1.0</v>
      </c>
      <c r="Z66" s="3">
        <v>2.0</v>
      </c>
      <c r="AA66" s="3" t="s">
        <v>59</v>
      </c>
      <c r="AB66" s="3">
        <v>1.0</v>
      </c>
      <c r="AC66" s="3">
        <v>2.0</v>
      </c>
      <c r="AD66" s="3">
        <v>1.0</v>
      </c>
      <c r="AE66" s="3">
        <v>1.0</v>
      </c>
      <c r="AF66" s="3">
        <v>0.0</v>
      </c>
      <c r="AG66" s="3">
        <v>1.0</v>
      </c>
      <c r="AH66" s="3">
        <v>2062.0</v>
      </c>
      <c r="AI66" s="3">
        <v>2250.0</v>
      </c>
      <c r="AJ66" s="3" t="str">
        <f t="array" ref="AJ66">IF(AA66="", "", XLOOKUP(AA66, 'Appendix B - Reason codes'!$A$4:$A$14, 'Appendix B - Reason codes'!$B$4:$B$14))</f>
        <v>Concerned about adverse effect</v>
      </c>
    </row>
    <row r="67" ht="15.75" customHeight="1">
      <c r="A67" s="3" t="s">
        <v>36</v>
      </c>
      <c r="B67" s="3">
        <v>66.0</v>
      </c>
      <c r="C67" s="3" t="s">
        <v>37</v>
      </c>
      <c r="D67" s="3" t="s">
        <v>116</v>
      </c>
      <c r="E67" s="3" t="s">
        <v>123</v>
      </c>
      <c r="F67" s="3" t="s">
        <v>40</v>
      </c>
      <c r="G67" s="3">
        <v>26.0</v>
      </c>
      <c r="H67" s="3">
        <v>13114.0</v>
      </c>
      <c r="I67" s="3">
        <v>20.0</v>
      </c>
      <c r="J67" s="3">
        <v>12867.0</v>
      </c>
      <c r="K67" s="3">
        <v>14512.0</v>
      </c>
      <c r="L67" s="3">
        <v>458.0</v>
      </c>
      <c r="M67" s="3">
        <v>1166.0</v>
      </c>
      <c r="N67" s="3">
        <v>167.0</v>
      </c>
      <c r="O67" s="3">
        <v>8243.0</v>
      </c>
      <c r="P67" s="3">
        <v>544.0</v>
      </c>
      <c r="Q67" s="3">
        <v>339.0</v>
      </c>
      <c r="R67" s="3">
        <v>62.0</v>
      </c>
      <c r="S67" s="3">
        <v>187.0</v>
      </c>
      <c r="T67" s="3">
        <v>1132.0</v>
      </c>
      <c r="U67" s="3">
        <v>8.0</v>
      </c>
      <c r="V67" s="3">
        <v>12.0</v>
      </c>
      <c r="W67" s="3">
        <v>5.0</v>
      </c>
      <c r="X67" s="3">
        <v>7.0</v>
      </c>
      <c r="Y67" s="3">
        <v>3.0</v>
      </c>
      <c r="Z67" s="3">
        <v>5.0</v>
      </c>
      <c r="AA67" s="3" t="s">
        <v>78</v>
      </c>
      <c r="AB67" s="3">
        <v>18.0</v>
      </c>
      <c r="AC67" s="3">
        <v>25.0</v>
      </c>
      <c r="AD67" s="3">
        <v>13.0</v>
      </c>
      <c r="AE67" s="3">
        <v>18.0</v>
      </c>
      <c r="AF67" s="3">
        <v>5.0</v>
      </c>
      <c r="AG67" s="3">
        <v>7.0</v>
      </c>
      <c r="AH67" s="3">
        <v>12546.0</v>
      </c>
      <c r="AI67" s="3">
        <v>13950.0</v>
      </c>
      <c r="AJ67" s="3" t="str">
        <f t="array" ref="AJ67">IF(AA67="", "", XLOOKUP(AA67, 'Appendix B - Reason codes'!$A$4:$A$14, 'Appendix B - Reason codes'!$B$4:$B$14))</f>
        <v>Child sick</v>
      </c>
    </row>
    <row r="68" ht="15.75" customHeight="1">
      <c r="A68" s="3" t="s">
        <v>36</v>
      </c>
      <c r="B68" s="3">
        <v>67.0</v>
      </c>
      <c r="C68" s="3" t="s">
        <v>37</v>
      </c>
      <c r="D68" s="3" t="s">
        <v>116</v>
      </c>
      <c r="E68" s="3" t="s">
        <v>124</v>
      </c>
      <c r="F68" s="3" t="s">
        <v>40</v>
      </c>
      <c r="G68" s="3">
        <v>18.0</v>
      </c>
      <c r="H68" s="3">
        <v>12055.0</v>
      </c>
      <c r="I68" s="3">
        <v>18.0</v>
      </c>
      <c r="J68" s="3">
        <v>10751.0</v>
      </c>
      <c r="K68" s="3">
        <v>13063.0</v>
      </c>
      <c r="L68" s="3">
        <v>336.0</v>
      </c>
      <c r="M68" s="3">
        <v>377.0</v>
      </c>
      <c r="N68" s="3">
        <v>210.0</v>
      </c>
      <c r="O68" s="3">
        <v>6899.0</v>
      </c>
      <c r="P68" s="3">
        <v>548.0</v>
      </c>
      <c r="Q68" s="3">
        <v>241.0</v>
      </c>
      <c r="R68" s="3">
        <v>97.0</v>
      </c>
      <c r="S68" s="3">
        <v>272.0</v>
      </c>
      <c r="T68" s="3">
        <v>1158.0</v>
      </c>
      <c r="U68" s="3">
        <v>9.0</v>
      </c>
      <c r="V68" s="3">
        <v>16.0</v>
      </c>
      <c r="W68" s="3">
        <v>7.0</v>
      </c>
      <c r="X68" s="3">
        <v>13.0</v>
      </c>
      <c r="Y68" s="3">
        <v>2.0</v>
      </c>
      <c r="Z68" s="3">
        <v>3.0</v>
      </c>
      <c r="AA68" s="3" t="s">
        <v>51</v>
      </c>
      <c r="AB68" s="3">
        <v>10.0</v>
      </c>
      <c r="AC68" s="3">
        <v>15.0</v>
      </c>
      <c r="AD68" s="3">
        <v>9.0</v>
      </c>
      <c r="AE68" s="3">
        <v>14.0</v>
      </c>
      <c r="AF68" s="3">
        <v>1.0</v>
      </c>
      <c r="AG68" s="3">
        <v>1.0</v>
      </c>
      <c r="AH68" s="3">
        <v>11717.0</v>
      </c>
      <c r="AI68" s="3">
        <v>12950.0</v>
      </c>
      <c r="AJ68" s="3" t="str">
        <f t="array" ref="AJ68">IF(AA68="", "", XLOOKUP(AA68, 'Appendix B - Reason codes'!$A$4:$A$14, 'Appendix B - Reason codes'!$B$4:$B$14))</f>
        <v>Religious belief</v>
      </c>
    </row>
    <row r="69" ht="15.75" customHeight="1">
      <c r="A69" s="3" t="s">
        <v>36</v>
      </c>
      <c r="B69" s="3">
        <v>68.0</v>
      </c>
      <c r="C69" s="3" t="s">
        <v>37</v>
      </c>
      <c r="D69" s="3" t="s">
        <v>116</v>
      </c>
      <c r="E69" s="3" t="s">
        <v>125</v>
      </c>
      <c r="F69" s="3" t="s">
        <v>40</v>
      </c>
      <c r="G69" s="3">
        <v>5.0</v>
      </c>
      <c r="H69" s="3">
        <v>2454.0</v>
      </c>
      <c r="I69" s="3">
        <v>3.0</v>
      </c>
      <c r="J69" s="3">
        <v>2268.0</v>
      </c>
      <c r="K69" s="3">
        <v>2726.0</v>
      </c>
      <c r="L69" s="3">
        <v>81.0</v>
      </c>
      <c r="M69" s="3">
        <v>85.0</v>
      </c>
      <c r="N69" s="3">
        <v>83.0</v>
      </c>
      <c r="O69" s="3">
        <v>1497.0</v>
      </c>
      <c r="P69" s="3">
        <v>11.0</v>
      </c>
      <c r="Q69" s="3">
        <v>7.0</v>
      </c>
      <c r="R69" s="3">
        <v>81.0</v>
      </c>
      <c r="S69" s="3">
        <v>41.0</v>
      </c>
      <c r="T69" s="3">
        <v>140.0</v>
      </c>
      <c r="U69" s="3">
        <v>1.0</v>
      </c>
      <c r="V69" s="3">
        <v>2.0</v>
      </c>
      <c r="W69" s="3">
        <v>1.0</v>
      </c>
      <c r="X69" s="3">
        <v>2.0</v>
      </c>
      <c r="Y69" s="3">
        <v>0.0</v>
      </c>
      <c r="Z69" s="3">
        <v>0.0</v>
      </c>
      <c r="AA69" s="3" t="s">
        <v>46</v>
      </c>
      <c r="AB69" s="3">
        <v>1.0</v>
      </c>
      <c r="AC69" s="3">
        <v>2.0</v>
      </c>
      <c r="AD69" s="3">
        <v>1.0</v>
      </c>
      <c r="AE69" s="3">
        <v>2.0</v>
      </c>
      <c r="AF69" s="3">
        <v>0.0</v>
      </c>
      <c r="AG69" s="3">
        <v>0.0</v>
      </c>
      <c r="AH69" s="3">
        <v>2548.0</v>
      </c>
      <c r="AI69" s="3">
        <v>2750.0</v>
      </c>
      <c r="AJ69" s="3" t="str">
        <f t="array" ref="AJ69">IF(AA69="", "", XLOOKUP(AA69, 'Appendix B - Reason codes'!$A$4:$A$14, 'Appendix B - Reason codes'!$B$4:$B$14))</f>
        <v>Father didn’t allow</v>
      </c>
    </row>
    <row r="70" ht="15.75" customHeight="1">
      <c r="A70" s="3" t="s">
        <v>36</v>
      </c>
      <c r="B70" s="3">
        <v>69.0</v>
      </c>
      <c r="C70" s="3" t="s">
        <v>37</v>
      </c>
      <c r="D70" s="3" t="s">
        <v>116</v>
      </c>
      <c r="E70" s="3" t="s">
        <v>126</v>
      </c>
      <c r="F70" s="3" t="s">
        <v>40</v>
      </c>
      <c r="G70" s="3">
        <v>30.0</v>
      </c>
      <c r="H70" s="3">
        <v>1554.0</v>
      </c>
      <c r="I70" s="3">
        <v>2.0</v>
      </c>
      <c r="J70" s="3">
        <v>1170.0</v>
      </c>
      <c r="K70" s="3">
        <v>1646.0</v>
      </c>
      <c r="L70" s="3">
        <v>6.0</v>
      </c>
      <c r="M70" s="3">
        <v>127.0</v>
      </c>
      <c r="N70" s="3">
        <v>30.0</v>
      </c>
      <c r="O70" s="3">
        <v>1061.0</v>
      </c>
      <c r="P70" s="3">
        <v>41.0</v>
      </c>
      <c r="Q70" s="3">
        <v>44.0</v>
      </c>
      <c r="R70" s="3">
        <v>71.0</v>
      </c>
      <c r="S70" s="3">
        <v>27.0</v>
      </c>
      <c r="T70" s="3">
        <v>183.0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/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1502.0</v>
      </c>
      <c r="AI70" s="3">
        <v>1650.0</v>
      </c>
      <c r="AJ70" s="3" t="str">
        <f t="array" ref="AJ70">IF(AA70="", "", XLOOKUP(AA70, 'Appendix B - Reason codes'!$A$4:$A$14, 'Appendix B - Reason codes'!$B$4:$B$14))</f>
        <v/>
      </c>
    </row>
    <row r="71" ht="15.75" customHeight="1">
      <c r="A71" s="3" t="s">
        <v>36</v>
      </c>
      <c r="B71" s="3">
        <v>70.0</v>
      </c>
      <c r="C71" s="3" t="s">
        <v>37</v>
      </c>
      <c r="D71" s="3" t="s">
        <v>127</v>
      </c>
      <c r="E71" s="3" t="s">
        <v>128</v>
      </c>
      <c r="F71" s="3" t="s">
        <v>40</v>
      </c>
      <c r="G71" s="3">
        <v>16.0</v>
      </c>
      <c r="H71" s="3">
        <v>1523.0</v>
      </c>
      <c r="I71" s="3">
        <v>2.0</v>
      </c>
      <c r="J71" s="3">
        <v>1080.0</v>
      </c>
      <c r="K71" s="3">
        <v>1652.0</v>
      </c>
      <c r="L71" s="3">
        <v>40.0</v>
      </c>
      <c r="M71" s="3">
        <v>3.0</v>
      </c>
      <c r="N71" s="3">
        <v>62.0</v>
      </c>
      <c r="O71" s="3">
        <v>1103.0</v>
      </c>
      <c r="P71" s="3">
        <v>22.0</v>
      </c>
      <c r="Q71" s="3">
        <v>23.0</v>
      </c>
      <c r="R71" s="3">
        <v>26.0</v>
      </c>
      <c r="S71" s="3">
        <v>14.0</v>
      </c>
      <c r="T71" s="3">
        <v>85.0</v>
      </c>
      <c r="U71" s="3">
        <v>1.0</v>
      </c>
      <c r="V71" s="3">
        <v>2.0</v>
      </c>
      <c r="W71" s="3">
        <v>1.0</v>
      </c>
      <c r="X71" s="3">
        <v>2.0</v>
      </c>
      <c r="Y71" s="3">
        <v>0.0</v>
      </c>
      <c r="Z71" s="3">
        <v>0.0</v>
      </c>
      <c r="AA71" s="3" t="s">
        <v>78</v>
      </c>
      <c r="AB71" s="3">
        <v>3.0</v>
      </c>
      <c r="AC71" s="3">
        <v>6.0</v>
      </c>
      <c r="AD71" s="3">
        <v>2.0</v>
      </c>
      <c r="AE71" s="3">
        <v>4.0</v>
      </c>
      <c r="AF71" s="3">
        <v>1.0</v>
      </c>
      <c r="AG71" s="3">
        <v>2.0</v>
      </c>
      <c r="AH71" s="3">
        <v>1483.0</v>
      </c>
      <c r="AI71" s="3">
        <v>1650.0</v>
      </c>
      <c r="AJ71" s="3" t="str">
        <f t="array" ref="AJ71">IF(AA71="", "", XLOOKUP(AA71, 'Appendix B - Reason codes'!$A$4:$A$14, 'Appendix B - Reason codes'!$B$4:$B$14))</f>
        <v>Child sick</v>
      </c>
    </row>
    <row r="72" ht="15.75" customHeight="1">
      <c r="A72" s="3" t="s">
        <v>36</v>
      </c>
      <c r="B72" s="3">
        <v>71.0</v>
      </c>
      <c r="C72" s="3" t="s">
        <v>37</v>
      </c>
      <c r="D72" s="3" t="s">
        <v>127</v>
      </c>
      <c r="E72" s="3" t="s">
        <v>129</v>
      </c>
      <c r="F72" s="3" t="s">
        <v>40</v>
      </c>
      <c r="G72" s="3">
        <v>8.0</v>
      </c>
      <c r="H72" s="3">
        <v>1181.0</v>
      </c>
      <c r="I72" s="3">
        <v>1.0</v>
      </c>
      <c r="J72" s="3">
        <v>1155.0</v>
      </c>
      <c r="K72" s="3">
        <v>1201.0</v>
      </c>
      <c r="L72" s="3">
        <v>26.0</v>
      </c>
      <c r="M72" s="3">
        <v>43.0</v>
      </c>
      <c r="N72" s="3">
        <v>39.0</v>
      </c>
      <c r="O72" s="3">
        <v>617.0</v>
      </c>
      <c r="P72" s="3">
        <v>27.0</v>
      </c>
      <c r="Q72" s="3">
        <v>15.0</v>
      </c>
      <c r="R72" s="3">
        <v>31.0</v>
      </c>
      <c r="S72" s="3">
        <v>3.0</v>
      </c>
      <c r="T72" s="3">
        <v>76.0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/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1114.0</v>
      </c>
      <c r="AI72" s="3">
        <v>1200.0</v>
      </c>
      <c r="AJ72" s="3" t="str">
        <f t="array" ref="AJ72">IF(AA72="", "", XLOOKUP(AA72, 'Appendix B - Reason codes'!$A$4:$A$14, 'Appendix B - Reason codes'!$B$4:$B$14))</f>
        <v/>
      </c>
    </row>
    <row r="73" ht="15.75" customHeight="1">
      <c r="A73" s="3" t="s">
        <v>36</v>
      </c>
      <c r="B73" s="3">
        <v>72.0</v>
      </c>
      <c r="C73" s="3" t="s">
        <v>37</v>
      </c>
      <c r="D73" s="3" t="s">
        <v>127</v>
      </c>
      <c r="E73" s="3" t="s">
        <v>130</v>
      </c>
      <c r="F73" s="3" t="s">
        <v>40</v>
      </c>
      <c r="G73" s="3">
        <v>16.0</v>
      </c>
      <c r="H73" s="3">
        <v>3663.0</v>
      </c>
      <c r="I73" s="3">
        <v>5.0</v>
      </c>
      <c r="J73" s="3">
        <v>3126.0</v>
      </c>
      <c r="K73" s="3">
        <v>3870.0</v>
      </c>
      <c r="L73" s="3">
        <v>64.0</v>
      </c>
      <c r="M73" s="3">
        <v>288.0</v>
      </c>
      <c r="N73" s="3">
        <v>67.0</v>
      </c>
      <c r="O73" s="3">
        <v>2092.0</v>
      </c>
      <c r="P73" s="3">
        <v>7.0</v>
      </c>
      <c r="Q73" s="3">
        <v>37.0</v>
      </c>
      <c r="R73" s="3">
        <v>74.0</v>
      </c>
      <c r="S73" s="3">
        <v>80.0</v>
      </c>
      <c r="T73" s="3">
        <v>198.0</v>
      </c>
      <c r="U73" s="3">
        <v>4.0</v>
      </c>
      <c r="V73" s="3">
        <v>6.0</v>
      </c>
      <c r="W73" s="3">
        <v>3.0</v>
      </c>
      <c r="X73" s="3">
        <v>5.0</v>
      </c>
      <c r="Y73" s="3">
        <v>1.0</v>
      </c>
      <c r="Z73" s="3">
        <v>1.0</v>
      </c>
      <c r="AA73" s="3" t="s">
        <v>51</v>
      </c>
      <c r="AB73" s="3">
        <v>6.0</v>
      </c>
      <c r="AC73" s="3">
        <v>11.0</v>
      </c>
      <c r="AD73" s="3">
        <v>5.0</v>
      </c>
      <c r="AE73" s="3">
        <v>9.0</v>
      </c>
      <c r="AF73" s="3">
        <v>1.0</v>
      </c>
      <c r="AG73" s="3">
        <v>2.0</v>
      </c>
      <c r="AH73" s="3">
        <v>3570.0</v>
      </c>
      <c r="AI73" s="3">
        <v>3950.0</v>
      </c>
      <c r="AJ73" s="3" t="str">
        <f t="array" ref="AJ73">IF(AA73="", "", XLOOKUP(AA73, 'Appendix B - Reason codes'!$A$4:$A$14, 'Appendix B - Reason codes'!$B$4:$B$14))</f>
        <v>Religious belief</v>
      </c>
    </row>
    <row r="74" ht="15.75" customHeight="1">
      <c r="A74" s="3" t="s">
        <v>36</v>
      </c>
      <c r="B74" s="3">
        <v>73.0</v>
      </c>
      <c r="C74" s="3" t="s">
        <v>37</v>
      </c>
      <c r="D74" s="3" t="s">
        <v>127</v>
      </c>
      <c r="E74" s="3" t="s">
        <v>131</v>
      </c>
      <c r="F74" s="3" t="s">
        <v>40</v>
      </c>
      <c r="G74" s="3">
        <v>47.0</v>
      </c>
      <c r="H74" s="3">
        <v>9452.0</v>
      </c>
      <c r="I74" s="3">
        <v>14.0</v>
      </c>
      <c r="J74" s="3">
        <v>6766.0</v>
      </c>
      <c r="K74" s="3">
        <v>10362.0</v>
      </c>
      <c r="L74" s="3">
        <v>225.0</v>
      </c>
      <c r="M74" s="3">
        <v>550.0</v>
      </c>
      <c r="N74" s="3">
        <v>40.0</v>
      </c>
      <c r="O74" s="3">
        <v>5538.0</v>
      </c>
      <c r="P74" s="3">
        <v>273.0</v>
      </c>
      <c r="Q74" s="3">
        <v>66.0</v>
      </c>
      <c r="R74" s="3">
        <v>413.0</v>
      </c>
      <c r="S74" s="3">
        <v>77.0</v>
      </c>
      <c r="T74" s="3">
        <v>829.0</v>
      </c>
      <c r="U74" s="3">
        <v>11.0</v>
      </c>
      <c r="V74" s="3">
        <v>23.0</v>
      </c>
      <c r="W74" s="3">
        <v>6.0</v>
      </c>
      <c r="X74" s="3">
        <v>13.0</v>
      </c>
      <c r="Y74" s="3">
        <v>5.0</v>
      </c>
      <c r="Z74" s="3">
        <v>10.0</v>
      </c>
      <c r="AA74" s="3" t="s">
        <v>41</v>
      </c>
      <c r="AB74" s="3">
        <v>9.0</v>
      </c>
      <c r="AC74" s="3">
        <v>16.0</v>
      </c>
      <c r="AD74" s="3">
        <v>7.0</v>
      </c>
      <c r="AE74" s="3">
        <v>13.0</v>
      </c>
      <c r="AF74" s="3">
        <v>2.0</v>
      </c>
      <c r="AG74" s="3">
        <v>3.0</v>
      </c>
      <c r="AH74" s="3">
        <v>9379.0</v>
      </c>
      <c r="AI74" s="3">
        <v>10500.0</v>
      </c>
      <c r="AJ74" s="3" t="str">
        <f t="array" ref="AJ74">IF(AA74="", "", XLOOKUP(AA74, 'Appendix B - Reason codes'!$A$4:$A$14, 'Appendix B - Reason codes'!$B$4:$B$14))</f>
        <v>Fatigue from many rounds</v>
      </c>
    </row>
    <row r="75" ht="15.75" customHeight="1">
      <c r="A75" s="3" t="s">
        <v>36</v>
      </c>
      <c r="B75" s="3">
        <v>74.0</v>
      </c>
      <c r="C75" s="3" t="s">
        <v>37</v>
      </c>
      <c r="D75" s="3" t="s">
        <v>127</v>
      </c>
      <c r="E75" s="3" t="s">
        <v>132</v>
      </c>
      <c r="F75" s="3" t="s">
        <v>40</v>
      </c>
      <c r="G75" s="3">
        <v>51.0</v>
      </c>
      <c r="H75" s="3">
        <v>9843.0</v>
      </c>
      <c r="I75" s="3">
        <v>15.0</v>
      </c>
      <c r="J75" s="3">
        <v>6921.0</v>
      </c>
      <c r="K75" s="3">
        <v>10018.0</v>
      </c>
      <c r="L75" s="3">
        <v>113.0</v>
      </c>
      <c r="M75" s="3">
        <v>463.0</v>
      </c>
      <c r="N75" s="3">
        <v>229.0</v>
      </c>
      <c r="O75" s="3">
        <v>5562.0</v>
      </c>
      <c r="P75" s="3">
        <v>14.0</v>
      </c>
      <c r="Q75" s="3">
        <v>105.0</v>
      </c>
      <c r="R75" s="3">
        <v>303.0</v>
      </c>
      <c r="S75" s="3">
        <v>187.0</v>
      </c>
      <c r="T75" s="3">
        <v>609.0</v>
      </c>
      <c r="U75" s="3">
        <v>5.0</v>
      </c>
      <c r="V75" s="3">
        <v>7.0</v>
      </c>
      <c r="W75" s="3">
        <v>3.0</v>
      </c>
      <c r="X75" s="3">
        <v>4.0</v>
      </c>
      <c r="Y75" s="3">
        <v>2.0</v>
      </c>
      <c r="Z75" s="3">
        <v>3.0</v>
      </c>
      <c r="AA75" s="3" t="s">
        <v>43</v>
      </c>
      <c r="AB75" s="3">
        <v>14.0</v>
      </c>
      <c r="AC75" s="3">
        <v>24.0</v>
      </c>
      <c r="AD75" s="3">
        <v>13.0</v>
      </c>
      <c r="AE75" s="3">
        <v>22.0</v>
      </c>
      <c r="AF75" s="3">
        <v>1.0</v>
      </c>
      <c r="AG75" s="3">
        <v>2.0</v>
      </c>
      <c r="AH75" s="3">
        <v>9463.0</v>
      </c>
      <c r="AI75" s="3">
        <v>10350.0</v>
      </c>
      <c r="AJ75" s="3" t="str">
        <f t="array" ref="AJ75">IF(AA75="", "", XLOOKUP(AA75, 'Appendix B - Reason codes'!$A$4:$A$14, 'Appendix B - Reason codes'!$B$4:$B$14))</f>
        <v>Unhappy (with the team / programme)</v>
      </c>
    </row>
    <row r="76" ht="15.75" customHeight="1">
      <c r="A76" s="3" t="s">
        <v>36</v>
      </c>
      <c r="B76" s="3">
        <v>75.0</v>
      </c>
      <c r="C76" s="3" t="s">
        <v>37</v>
      </c>
      <c r="D76" s="3" t="s">
        <v>127</v>
      </c>
      <c r="E76" s="3" t="s">
        <v>133</v>
      </c>
      <c r="F76" s="3" t="s">
        <v>40</v>
      </c>
      <c r="G76" s="3">
        <v>38.0</v>
      </c>
      <c r="H76" s="3">
        <v>8876.0</v>
      </c>
      <c r="I76" s="3">
        <v>13.0</v>
      </c>
      <c r="J76" s="3">
        <v>6253.0</v>
      </c>
      <c r="K76" s="3">
        <v>9758.0</v>
      </c>
      <c r="L76" s="3">
        <v>327.0</v>
      </c>
      <c r="M76" s="3">
        <v>693.0</v>
      </c>
      <c r="N76" s="3">
        <v>160.0</v>
      </c>
      <c r="O76" s="3">
        <v>5551.0</v>
      </c>
      <c r="P76" s="3">
        <v>34.0</v>
      </c>
      <c r="Q76" s="3">
        <v>50.0</v>
      </c>
      <c r="R76" s="3">
        <v>284.0</v>
      </c>
      <c r="S76" s="3">
        <v>240.0</v>
      </c>
      <c r="T76" s="3">
        <v>608.0</v>
      </c>
      <c r="U76" s="3">
        <v>4.0</v>
      </c>
      <c r="V76" s="3">
        <v>8.0</v>
      </c>
      <c r="W76" s="3">
        <v>3.0</v>
      </c>
      <c r="X76" s="3">
        <v>6.0</v>
      </c>
      <c r="Y76" s="3">
        <v>1.0</v>
      </c>
      <c r="Z76" s="3">
        <v>2.0</v>
      </c>
      <c r="AA76" s="3" t="s">
        <v>51</v>
      </c>
      <c r="AB76" s="3">
        <v>16.0</v>
      </c>
      <c r="AC76" s="3">
        <v>23.0</v>
      </c>
      <c r="AD76" s="3">
        <v>14.0</v>
      </c>
      <c r="AE76" s="3">
        <v>20.0</v>
      </c>
      <c r="AF76" s="3">
        <v>2.0</v>
      </c>
      <c r="AG76" s="3">
        <v>3.0</v>
      </c>
      <c r="AH76" s="3">
        <v>9312.0</v>
      </c>
      <c r="AI76" s="3">
        <v>10150.0</v>
      </c>
      <c r="AJ76" s="3" t="str">
        <f t="array" ref="AJ76">IF(AA76="", "", XLOOKUP(AA76, 'Appendix B - Reason codes'!$A$4:$A$14, 'Appendix B - Reason codes'!$B$4:$B$14))</f>
        <v>Religious belief</v>
      </c>
    </row>
    <row r="77" ht="15.75" customHeight="1">
      <c r="A77" s="3" t="s">
        <v>36</v>
      </c>
      <c r="B77" s="3">
        <v>76.0</v>
      </c>
      <c r="C77" s="3" t="s">
        <v>37</v>
      </c>
      <c r="D77" s="3" t="s">
        <v>134</v>
      </c>
      <c r="E77" s="3" t="s">
        <v>135</v>
      </c>
      <c r="F77" s="3" t="s">
        <v>40</v>
      </c>
      <c r="G77" s="3">
        <v>48.0</v>
      </c>
      <c r="H77" s="3">
        <v>10593.0</v>
      </c>
      <c r="I77" s="3">
        <v>16.0</v>
      </c>
      <c r="J77" s="3">
        <v>9490.0</v>
      </c>
      <c r="K77" s="3">
        <v>10616.0</v>
      </c>
      <c r="L77" s="3">
        <v>159.0</v>
      </c>
      <c r="M77" s="3">
        <v>121.0</v>
      </c>
      <c r="N77" s="3">
        <v>191.0</v>
      </c>
      <c r="O77" s="3">
        <v>6477.0</v>
      </c>
      <c r="P77" s="3">
        <v>184.0</v>
      </c>
      <c r="Q77" s="3">
        <v>322.0</v>
      </c>
      <c r="R77" s="3">
        <v>318.0</v>
      </c>
      <c r="S77" s="3">
        <v>243.0</v>
      </c>
      <c r="T77" s="3">
        <v>1067.0</v>
      </c>
      <c r="U77" s="3">
        <v>4.0</v>
      </c>
      <c r="V77" s="3">
        <v>6.0</v>
      </c>
      <c r="W77" s="3">
        <v>3.0</v>
      </c>
      <c r="X77" s="3">
        <v>4.0</v>
      </c>
      <c r="Y77" s="3">
        <v>1.0</v>
      </c>
      <c r="Z77" s="3">
        <v>2.0</v>
      </c>
      <c r="AA77" s="3" t="s">
        <v>46</v>
      </c>
      <c r="AB77" s="3">
        <v>12.0</v>
      </c>
      <c r="AC77" s="3">
        <v>19.0</v>
      </c>
      <c r="AD77" s="3">
        <v>10.0</v>
      </c>
      <c r="AE77" s="3">
        <v>16.0</v>
      </c>
      <c r="AF77" s="3">
        <v>2.0</v>
      </c>
      <c r="AG77" s="3">
        <v>3.0</v>
      </c>
      <c r="AH77" s="3">
        <v>9391.0</v>
      </c>
      <c r="AI77" s="3">
        <v>10450.0</v>
      </c>
      <c r="AJ77" s="3" t="str">
        <f t="array" ref="AJ77">IF(AA77="", "", XLOOKUP(AA77, 'Appendix B - Reason codes'!$A$4:$A$14, 'Appendix B - Reason codes'!$B$4:$B$14))</f>
        <v>Father didn’t allow</v>
      </c>
    </row>
    <row r="78" ht="15.75" customHeight="1">
      <c r="A78" s="3" t="s">
        <v>36</v>
      </c>
      <c r="B78" s="3">
        <v>77.0</v>
      </c>
      <c r="C78" s="3" t="s">
        <v>37</v>
      </c>
      <c r="D78" s="3" t="s">
        <v>134</v>
      </c>
      <c r="E78" s="3" t="s">
        <v>136</v>
      </c>
      <c r="F78" s="3" t="s">
        <v>40</v>
      </c>
      <c r="G78" s="3">
        <v>17.0</v>
      </c>
      <c r="H78" s="3">
        <v>1395.0</v>
      </c>
      <c r="I78" s="3">
        <v>2.0</v>
      </c>
      <c r="J78" s="3">
        <v>1076.0</v>
      </c>
      <c r="K78" s="3">
        <v>1406.0</v>
      </c>
      <c r="L78" s="3">
        <v>29.0</v>
      </c>
      <c r="M78" s="3">
        <v>20.0</v>
      </c>
      <c r="N78" s="3">
        <v>50.0</v>
      </c>
      <c r="O78" s="3">
        <v>875.0</v>
      </c>
      <c r="P78" s="3">
        <v>41.0</v>
      </c>
      <c r="Q78" s="3">
        <v>17.0</v>
      </c>
      <c r="R78" s="3">
        <v>41.0</v>
      </c>
      <c r="S78" s="3">
        <v>17.0</v>
      </c>
      <c r="T78" s="3">
        <v>116.0</v>
      </c>
      <c r="U78" s="3">
        <v>2.0</v>
      </c>
      <c r="V78" s="3">
        <v>3.0</v>
      </c>
      <c r="W78" s="3">
        <v>2.0</v>
      </c>
      <c r="X78" s="3">
        <v>2.0</v>
      </c>
      <c r="Y78" s="3">
        <v>0.0</v>
      </c>
      <c r="Z78" s="3">
        <v>1.0</v>
      </c>
      <c r="AA78" s="3" t="s">
        <v>41</v>
      </c>
      <c r="AB78" s="3">
        <v>3.0</v>
      </c>
      <c r="AC78" s="3">
        <v>5.0</v>
      </c>
      <c r="AD78" s="3">
        <v>2.0</v>
      </c>
      <c r="AE78" s="3">
        <v>4.0</v>
      </c>
      <c r="AF78" s="3">
        <v>1.0</v>
      </c>
      <c r="AG78" s="3">
        <v>1.0</v>
      </c>
      <c r="AH78" s="3">
        <v>1195.0</v>
      </c>
      <c r="AI78" s="3">
        <v>1350.0</v>
      </c>
      <c r="AJ78" s="3" t="str">
        <f t="array" ref="AJ78">IF(AA78="", "", XLOOKUP(AA78, 'Appendix B - Reason codes'!$A$4:$A$14, 'Appendix B - Reason codes'!$B$4:$B$14))</f>
        <v>Fatigue from many rounds</v>
      </c>
    </row>
    <row r="79" ht="15.75" customHeight="1">
      <c r="A79" s="3" t="s">
        <v>36</v>
      </c>
      <c r="B79" s="3">
        <v>78.0</v>
      </c>
      <c r="C79" s="3" t="s">
        <v>37</v>
      </c>
      <c r="D79" s="3" t="s">
        <v>134</v>
      </c>
      <c r="E79" s="3" t="s">
        <v>137</v>
      </c>
      <c r="F79" s="3" t="s">
        <v>40</v>
      </c>
      <c r="G79" s="3">
        <v>36.0</v>
      </c>
      <c r="H79" s="3">
        <v>2210.0</v>
      </c>
      <c r="I79" s="3">
        <v>3.0</v>
      </c>
      <c r="J79" s="3">
        <v>1870.0</v>
      </c>
      <c r="K79" s="3">
        <v>2350.0</v>
      </c>
      <c r="L79" s="3">
        <v>11.0</v>
      </c>
      <c r="M79" s="3">
        <v>35.0</v>
      </c>
      <c r="N79" s="3">
        <v>11.0</v>
      </c>
      <c r="O79" s="3">
        <v>1271.0</v>
      </c>
      <c r="P79" s="3">
        <v>31.0</v>
      </c>
      <c r="Q79" s="3">
        <v>50.0</v>
      </c>
      <c r="R79" s="3">
        <v>83.0</v>
      </c>
      <c r="S79" s="3">
        <v>7.0</v>
      </c>
      <c r="T79" s="3">
        <v>171.0</v>
      </c>
      <c r="U79" s="3">
        <v>1.0</v>
      </c>
      <c r="V79" s="3">
        <v>2.0</v>
      </c>
      <c r="W79" s="3">
        <v>1.0</v>
      </c>
      <c r="X79" s="3">
        <v>1.0</v>
      </c>
      <c r="Y79" s="3">
        <v>0.0</v>
      </c>
      <c r="Z79" s="3">
        <v>1.0</v>
      </c>
      <c r="AA79" s="3" t="s">
        <v>51</v>
      </c>
      <c r="AB79" s="3">
        <v>6.0</v>
      </c>
      <c r="AC79" s="3">
        <v>11.0</v>
      </c>
      <c r="AD79" s="3">
        <v>4.0</v>
      </c>
      <c r="AE79" s="3">
        <v>8.0</v>
      </c>
      <c r="AF79" s="3">
        <v>2.0</v>
      </c>
      <c r="AG79" s="3">
        <v>3.0</v>
      </c>
      <c r="AH79" s="3">
        <v>1882.0</v>
      </c>
      <c r="AI79" s="3">
        <v>2100.0</v>
      </c>
      <c r="AJ79" s="3" t="str">
        <f t="array" ref="AJ79">IF(AA79="", "", XLOOKUP(AA79, 'Appendix B - Reason codes'!$A$4:$A$14, 'Appendix B - Reason codes'!$B$4:$B$14))</f>
        <v>Religious belief</v>
      </c>
    </row>
    <row r="80" ht="15.75" customHeight="1">
      <c r="A80" s="3" t="s">
        <v>36</v>
      </c>
      <c r="B80" s="3">
        <v>79.0</v>
      </c>
      <c r="C80" s="3" t="s">
        <v>37</v>
      </c>
      <c r="D80" s="3" t="s">
        <v>134</v>
      </c>
      <c r="E80" s="3" t="s">
        <v>138</v>
      </c>
      <c r="F80" s="3" t="s">
        <v>40</v>
      </c>
      <c r="G80" s="3">
        <v>35.0</v>
      </c>
      <c r="H80" s="3">
        <v>7378.0</v>
      </c>
      <c r="I80" s="3">
        <v>11.0</v>
      </c>
      <c r="J80" s="3">
        <v>6960.0</v>
      </c>
      <c r="K80" s="3">
        <v>7960.0</v>
      </c>
      <c r="L80" s="3">
        <v>16.0</v>
      </c>
      <c r="M80" s="3">
        <v>157.0</v>
      </c>
      <c r="N80" s="3">
        <v>228.0</v>
      </c>
      <c r="O80" s="3">
        <v>5089.0</v>
      </c>
      <c r="P80" s="3">
        <v>27.0</v>
      </c>
      <c r="Q80" s="3">
        <v>157.0</v>
      </c>
      <c r="R80" s="3">
        <v>35.0</v>
      </c>
      <c r="S80" s="3">
        <v>32.0</v>
      </c>
      <c r="T80" s="3">
        <v>251.0</v>
      </c>
      <c r="U80" s="3">
        <v>4.0</v>
      </c>
      <c r="V80" s="3">
        <v>6.0</v>
      </c>
      <c r="W80" s="3">
        <v>3.0</v>
      </c>
      <c r="X80" s="3">
        <v>5.0</v>
      </c>
      <c r="Y80" s="3">
        <v>1.0</v>
      </c>
      <c r="Z80" s="3">
        <v>1.0</v>
      </c>
      <c r="AA80" s="3" t="s">
        <v>51</v>
      </c>
      <c r="AB80" s="3">
        <v>11.0</v>
      </c>
      <c r="AC80" s="3">
        <v>15.0</v>
      </c>
      <c r="AD80" s="3">
        <v>10.0</v>
      </c>
      <c r="AE80" s="3">
        <v>13.0</v>
      </c>
      <c r="AF80" s="3">
        <v>1.0</v>
      </c>
      <c r="AG80" s="3">
        <v>2.0</v>
      </c>
      <c r="AH80" s="3">
        <v>6597.0</v>
      </c>
      <c r="AI80" s="3">
        <v>7400.0</v>
      </c>
      <c r="AJ80" s="3" t="str">
        <f t="array" ref="AJ80">IF(AA80="", "", XLOOKUP(AA80, 'Appendix B - Reason codes'!$A$4:$A$14, 'Appendix B - Reason codes'!$B$4:$B$14))</f>
        <v>Religious belief</v>
      </c>
    </row>
    <row r="81" ht="15.75" customHeight="1">
      <c r="A81" s="3" t="s">
        <v>36</v>
      </c>
      <c r="B81" s="3">
        <v>80.0</v>
      </c>
      <c r="C81" s="3" t="s">
        <v>37</v>
      </c>
      <c r="D81" s="3" t="s">
        <v>134</v>
      </c>
      <c r="E81" s="3" t="s">
        <v>139</v>
      </c>
      <c r="F81" s="3" t="s">
        <v>40</v>
      </c>
      <c r="G81" s="3">
        <v>35.0</v>
      </c>
      <c r="H81" s="3">
        <v>14906.0</v>
      </c>
      <c r="I81" s="3">
        <v>22.0</v>
      </c>
      <c r="J81" s="3">
        <v>10546.0</v>
      </c>
      <c r="K81" s="3">
        <v>16564.0</v>
      </c>
      <c r="L81" s="3">
        <v>409.0</v>
      </c>
      <c r="M81" s="3">
        <v>1243.0</v>
      </c>
      <c r="N81" s="3">
        <v>266.0</v>
      </c>
      <c r="O81" s="3">
        <v>10574.0</v>
      </c>
      <c r="P81" s="3">
        <v>186.0</v>
      </c>
      <c r="Q81" s="3">
        <v>22.0</v>
      </c>
      <c r="R81" s="3">
        <v>184.0</v>
      </c>
      <c r="S81" s="3">
        <v>3.0</v>
      </c>
      <c r="T81" s="3">
        <v>395.0</v>
      </c>
      <c r="U81" s="3">
        <v>7.0</v>
      </c>
      <c r="V81" s="3">
        <v>11.0</v>
      </c>
      <c r="W81" s="3">
        <v>5.0</v>
      </c>
      <c r="X81" s="3">
        <v>8.0</v>
      </c>
      <c r="Y81" s="3">
        <v>2.0</v>
      </c>
      <c r="Z81" s="3">
        <v>3.0</v>
      </c>
      <c r="AA81" s="3" t="s">
        <v>51</v>
      </c>
      <c r="AB81" s="3">
        <v>10.0</v>
      </c>
      <c r="AC81" s="3">
        <v>17.0</v>
      </c>
      <c r="AD81" s="3">
        <v>7.0</v>
      </c>
      <c r="AE81" s="3">
        <v>13.0</v>
      </c>
      <c r="AF81" s="3">
        <v>3.0</v>
      </c>
      <c r="AG81" s="3">
        <v>4.0</v>
      </c>
      <c r="AH81" s="3">
        <v>14110.0</v>
      </c>
      <c r="AI81" s="3">
        <v>15600.0</v>
      </c>
      <c r="AJ81" s="3" t="str">
        <f t="array" ref="AJ81">IF(AA81="", "", XLOOKUP(AA81, 'Appendix B - Reason codes'!$A$4:$A$14, 'Appendix B - Reason codes'!$B$4:$B$14))</f>
        <v>Religious belief</v>
      </c>
    </row>
    <row r="82" ht="15.75" customHeight="1">
      <c r="A82" s="3" t="s">
        <v>36</v>
      </c>
      <c r="B82" s="3">
        <v>81.0</v>
      </c>
      <c r="C82" s="3" t="s">
        <v>37</v>
      </c>
      <c r="D82" s="3" t="s">
        <v>134</v>
      </c>
      <c r="E82" s="3" t="s">
        <v>140</v>
      </c>
      <c r="F82" s="3" t="s">
        <v>40</v>
      </c>
      <c r="G82" s="3">
        <v>19.0</v>
      </c>
      <c r="H82" s="3">
        <v>3073.0</v>
      </c>
      <c r="I82" s="3">
        <v>4.0</v>
      </c>
      <c r="J82" s="3">
        <v>2309.0</v>
      </c>
      <c r="K82" s="3">
        <v>3381.0</v>
      </c>
      <c r="L82" s="3">
        <v>23.0</v>
      </c>
      <c r="M82" s="3">
        <v>213.0</v>
      </c>
      <c r="N82" s="3">
        <v>36.0</v>
      </c>
      <c r="O82" s="3">
        <v>1802.0</v>
      </c>
      <c r="P82" s="3">
        <v>64.0</v>
      </c>
      <c r="Q82" s="3">
        <v>93.0</v>
      </c>
      <c r="R82" s="3">
        <v>73.0</v>
      </c>
      <c r="S82" s="3">
        <v>42.0</v>
      </c>
      <c r="T82" s="3">
        <v>272.0</v>
      </c>
      <c r="U82" s="3">
        <v>4.0</v>
      </c>
      <c r="V82" s="3">
        <v>7.0</v>
      </c>
      <c r="W82" s="3">
        <v>3.0</v>
      </c>
      <c r="X82" s="3">
        <v>5.0</v>
      </c>
      <c r="Y82" s="3">
        <v>1.0</v>
      </c>
      <c r="Z82" s="3">
        <v>2.0</v>
      </c>
      <c r="AA82" s="3" t="s">
        <v>41</v>
      </c>
      <c r="AB82" s="3">
        <v>7.0</v>
      </c>
      <c r="AC82" s="3">
        <v>12.0</v>
      </c>
      <c r="AD82" s="3">
        <v>6.0</v>
      </c>
      <c r="AE82" s="3">
        <v>11.0</v>
      </c>
      <c r="AF82" s="3">
        <v>1.0</v>
      </c>
      <c r="AG82" s="3">
        <v>1.0</v>
      </c>
      <c r="AH82" s="3">
        <v>2656.0</v>
      </c>
      <c r="AI82" s="3">
        <v>2950.0</v>
      </c>
      <c r="AJ82" s="3" t="str">
        <f t="array" ref="AJ82">IF(AA82="", "", XLOOKUP(AA82, 'Appendix B - Reason codes'!$A$4:$A$14, 'Appendix B - Reason codes'!$B$4:$B$14))</f>
        <v>Fatigue from many rounds</v>
      </c>
    </row>
    <row r="83" ht="15.75" customHeight="1">
      <c r="A83" s="3" t="s">
        <v>36</v>
      </c>
      <c r="B83" s="3">
        <v>82.0</v>
      </c>
      <c r="C83" s="3" t="s">
        <v>37</v>
      </c>
      <c r="D83" s="3" t="s">
        <v>134</v>
      </c>
      <c r="E83" s="3" t="s">
        <v>141</v>
      </c>
      <c r="F83" s="3" t="s">
        <v>40</v>
      </c>
      <c r="G83" s="3">
        <v>32.0</v>
      </c>
      <c r="H83" s="3">
        <v>1819.0</v>
      </c>
      <c r="I83" s="3">
        <v>2.0</v>
      </c>
      <c r="J83" s="3">
        <v>1491.0</v>
      </c>
      <c r="K83" s="3">
        <v>1931.0</v>
      </c>
      <c r="L83" s="3">
        <v>45.0</v>
      </c>
      <c r="M83" s="3">
        <v>119.0</v>
      </c>
      <c r="N83" s="3">
        <v>36.0</v>
      </c>
      <c r="O83" s="3">
        <v>1290.0</v>
      </c>
      <c r="P83" s="3">
        <v>68.0</v>
      </c>
      <c r="Q83" s="3">
        <v>59.0</v>
      </c>
      <c r="R83" s="3">
        <v>74.0</v>
      </c>
      <c r="S83" s="3">
        <v>5.0</v>
      </c>
      <c r="T83" s="3">
        <v>206.0</v>
      </c>
      <c r="U83" s="3">
        <v>2.0</v>
      </c>
      <c r="V83" s="3">
        <v>4.0</v>
      </c>
      <c r="W83" s="3">
        <v>1.0</v>
      </c>
      <c r="X83" s="3">
        <v>3.0</v>
      </c>
      <c r="Y83" s="3">
        <v>1.0</v>
      </c>
      <c r="Z83" s="3">
        <v>1.0</v>
      </c>
      <c r="AA83" s="3" t="s">
        <v>119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1577.0</v>
      </c>
      <c r="AI83" s="3">
        <v>1800.0</v>
      </c>
      <c r="AJ83" s="3" t="str">
        <f t="array" ref="AJ83">IF(AA83="", "", XLOOKUP(AA83, 'Appendix B - Reason codes'!$A$4:$A$14, 'Appendix B - Reason codes'!$B$4:$B$14))</f>
        <v>Other (unspecified)</v>
      </c>
    </row>
    <row r="84" ht="15.75" customHeight="1">
      <c r="A84" s="3" t="s">
        <v>36</v>
      </c>
      <c r="B84" s="3">
        <v>83.0</v>
      </c>
      <c r="C84" s="3" t="s">
        <v>37</v>
      </c>
      <c r="D84" s="3" t="s">
        <v>134</v>
      </c>
      <c r="E84" s="3" t="s">
        <v>142</v>
      </c>
      <c r="F84" s="3" t="s">
        <v>40</v>
      </c>
      <c r="G84" s="3">
        <v>49.0</v>
      </c>
      <c r="H84" s="3">
        <v>8877.0</v>
      </c>
      <c r="I84" s="3">
        <v>13.0</v>
      </c>
      <c r="J84" s="3">
        <v>8041.0</v>
      </c>
      <c r="K84" s="3">
        <v>9255.0</v>
      </c>
      <c r="L84" s="3">
        <v>180.0</v>
      </c>
      <c r="M84" s="3">
        <v>142.0</v>
      </c>
      <c r="N84" s="3">
        <v>32.0</v>
      </c>
      <c r="O84" s="3">
        <v>5532.0</v>
      </c>
      <c r="P84" s="3">
        <v>44.0</v>
      </c>
      <c r="Q84" s="3">
        <v>164.0</v>
      </c>
      <c r="R84" s="3">
        <v>210.0</v>
      </c>
      <c r="S84" s="3">
        <v>46.0</v>
      </c>
      <c r="T84" s="3">
        <v>464.0</v>
      </c>
      <c r="U84" s="3">
        <v>9.0</v>
      </c>
      <c r="V84" s="3">
        <v>18.0</v>
      </c>
      <c r="W84" s="3">
        <v>6.0</v>
      </c>
      <c r="X84" s="3">
        <v>11.0</v>
      </c>
      <c r="Y84" s="3">
        <v>3.0</v>
      </c>
      <c r="Z84" s="3">
        <v>7.0</v>
      </c>
      <c r="AA84" s="3" t="s">
        <v>59</v>
      </c>
      <c r="AB84" s="3">
        <v>9.0</v>
      </c>
      <c r="AC84" s="3">
        <v>15.0</v>
      </c>
      <c r="AD84" s="3">
        <v>7.0</v>
      </c>
      <c r="AE84" s="3">
        <v>11.0</v>
      </c>
      <c r="AF84" s="3">
        <v>2.0</v>
      </c>
      <c r="AG84" s="3">
        <v>4.0</v>
      </c>
      <c r="AH84" s="3">
        <v>7834.0</v>
      </c>
      <c r="AI84" s="3">
        <v>8550.0</v>
      </c>
      <c r="AJ84" s="3" t="str">
        <f t="array" ref="AJ84">IF(AA84="", "", XLOOKUP(AA84, 'Appendix B - Reason codes'!$A$4:$A$14, 'Appendix B - Reason codes'!$B$4:$B$14))</f>
        <v>Concerned about adverse effect</v>
      </c>
    </row>
    <row r="85" ht="15.75" customHeight="1">
      <c r="A85" s="3" t="s">
        <v>36</v>
      </c>
      <c r="B85" s="3">
        <v>84.0</v>
      </c>
      <c r="C85" s="3" t="s">
        <v>37</v>
      </c>
      <c r="D85" s="3" t="s">
        <v>143</v>
      </c>
      <c r="E85" s="3" t="s">
        <v>144</v>
      </c>
      <c r="F85" s="3" t="s">
        <v>40</v>
      </c>
      <c r="G85" s="3">
        <v>27.0</v>
      </c>
      <c r="H85" s="3">
        <v>11476.0</v>
      </c>
      <c r="I85" s="3">
        <v>17.0</v>
      </c>
      <c r="J85" s="3">
        <v>9417.0</v>
      </c>
      <c r="K85" s="3">
        <v>12334.0</v>
      </c>
      <c r="L85" s="3">
        <v>322.0</v>
      </c>
      <c r="M85" s="3">
        <v>227.0</v>
      </c>
      <c r="N85" s="3">
        <v>109.0</v>
      </c>
      <c r="O85" s="3">
        <v>8150.0</v>
      </c>
      <c r="P85" s="3">
        <v>145.0</v>
      </c>
      <c r="Q85" s="3">
        <v>458.0</v>
      </c>
      <c r="R85" s="3">
        <v>4.0</v>
      </c>
      <c r="S85" s="3">
        <v>7.0</v>
      </c>
      <c r="T85" s="3">
        <v>614.0</v>
      </c>
      <c r="U85" s="3">
        <v>10.0</v>
      </c>
      <c r="V85" s="3">
        <v>20.0</v>
      </c>
      <c r="W85" s="3">
        <v>8.0</v>
      </c>
      <c r="X85" s="3">
        <v>17.0</v>
      </c>
      <c r="Y85" s="3">
        <v>2.0</v>
      </c>
      <c r="Z85" s="3">
        <v>3.0</v>
      </c>
      <c r="AA85" s="3" t="s">
        <v>61</v>
      </c>
      <c r="AB85" s="3">
        <v>10.0</v>
      </c>
      <c r="AC85" s="3">
        <v>20.0</v>
      </c>
      <c r="AD85" s="3">
        <v>8.0</v>
      </c>
      <c r="AE85" s="3">
        <v>17.0</v>
      </c>
      <c r="AF85" s="3">
        <v>2.0</v>
      </c>
      <c r="AG85" s="3">
        <v>3.0</v>
      </c>
      <c r="AH85" s="3">
        <v>11953.0</v>
      </c>
      <c r="AI85" s="3">
        <v>13000.0</v>
      </c>
      <c r="AJ85" s="3" t="str">
        <f t="array" ref="AJ85">IF(AA85="", "", XLOOKUP(AA85, 'Appendix B - Reason codes'!$A$4:$A$14, 'Appendix B - Reason codes'!$B$4:$B$14))</f>
        <v>No reason given</v>
      </c>
    </row>
    <row r="86" ht="15.75" customHeight="1">
      <c r="A86" s="3" t="s">
        <v>36</v>
      </c>
      <c r="B86" s="3">
        <v>85.0</v>
      </c>
      <c r="C86" s="3" t="s">
        <v>37</v>
      </c>
      <c r="D86" s="3" t="s">
        <v>143</v>
      </c>
      <c r="E86" s="3" t="s">
        <v>145</v>
      </c>
      <c r="F86" s="3" t="s">
        <v>40</v>
      </c>
      <c r="G86" s="3">
        <v>36.0</v>
      </c>
      <c r="H86" s="3">
        <v>4148.0</v>
      </c>
      <c r="I86" s="3">
        <v>6.0</v>
      </c>
      <c r="J86" s="3">
        <v>3672.0</v>
      </c>
      <c r="K86" s="3">
        <v>4439.0</v>
      </c>
      <c r="L86" s="3">
        <v>75.0</v>
      </c>
      <c r="M86" s="3">
        <v>158.0</v>
      </c>
      <c r="N86" s="3">
        <v>33.0</v>
      </c>
      <c r="O86" s="3">
        <v>3067.0</v>
      </c>
      <c r="P86" s="3">
        <v>182.0</v>
      </c>
      <c r="Q86" s="3">
        <v>156.0</v>
      </c>
      <c r="R86" s="3">
        <v>148.0</v>
      </c>
      <c r="S86" s="3">
        <v>106.0</v>
      </c>
      <c r="T86" s="3">
        <v>592.0</v>
      </c>
      <c r="U86" s="3">
        <v>2.0</v>
      </c>
      <c r="V86" s="3">
        <v>3.0</v>
      </c>
      <c r="W86" s="3">
        <v>2.0</v>
      </c>
      <c r="X86" s="3">
        <v>2.0</v>
      </c>
      <c r="Y86" s="3">
        <v>0.0</v>
      </c>
      <c r="Z86" s="3">
        <v>1.0</v>
      </c>
      <c r="AA86" s="3" t="s">
        <v>59</v>
      </c>
      <c r="AB86" s="3">
        <v>7.0</v>
      </c>
      <c r="AC86" s="3">
        <v>9.0</v>
      </c>
      <c r="AD86" s="3">
        <v>6.0</v>
      </c>
      <c r="AE86" s="3">
        <v>8.0</v>
      </c>
      <c r="AF86" s="3">
        <v>1.0</v>
      </c>
      <c r="AG86" s="3">
        <v>1.0</v>
      </c>
      <c r="AH86" s="3">
        <v>4324.0</v>
      </c>
      <c r="AI86" s="3">
        <v>4700.0</v>
      </c>
      <c r="AJ86" s="3" t="str">
        <f t="array" ref="AJ86">IF(AA86="", "", XLOOKUP(AA86, 'Appendix B - Reason codes'!$A$4:$A$14, 'Appendix B - Reason codes'!$B$4:$B$14))</f>
        <v>Concerned about adverse effect</v>
      </c>
    </row>
    <row r="87" ht="15.75" customHeight="1">
      <c r="A87" s="3" t="s">
        <v>36</v>
      </c>
      <c r="B87" s="3">
        <v>86.0</v>
      </c>
      <c r="C87" s="3" t="s">
        <v>37</v>
      </c>
      <c r="D87" s="3" t="s">
        <v>143</v>
      </c>
      <c r="E87" s="3" t="s">
        <v>146</v>
      </c>
      <c r="F87" s="3" t="s">
        <v>40</v>
      </c>
      <c r="G87" s="3">
        <v>17.0</v>
      </c>
      <c r="H87" s="3">
        <v>1187.0</v>
      </c>
      <c r="I87" s="3">
        <v>1.0</v>
      </c>
      <c r="J87" s="3">
        <v>919.0</v>
      </c>
      <c r="K87" s="3">
        <v>1293.0</v>
      </c>
      <c r="L87" s="3">
        <v>28.0</v>
      </c>
      <c r="M87" s="3">
        <v>79.0</v>
      </c>
      <c r="N87" s="3">
        <v>50.0</v>
      </c>
      <c r="O87" s="3">
        <v>677.0</v>
      </c>
      <c r="P87" s="3">
        <v>0.0</v>
      </c>
      <c r="Q87" s="3">
        <v>41.0</v>
      </c>
      <c r="R87" s="3">
        <v>7.0</v>
      </c>
      <c r="S87" s="3">
        <v>3.0</v>
      </c>
      <c r="T87" s="3">
        <v>51.0</v>
      </c>
      <c r="U87" s="3">
        <v>1.0</v>
      </c>
      <c r="V87" s="3">
        <v>2.0</v>
      </c>
      <c r="W87" s="3">
        <v>1.0</v>
      </c>
      <c r="X87" s="3">
        <v>2.0</v>
      </c>
      <c r="Y87" s="3">
        <v>0.0</v>
      </c>
      <c r="Z87" s="3">
        <v>0.0</v>
      </c>
      <c r="AA87" s="3" t="s">
        <v>43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1201.0</v>
      </c>
      <c r="AI87" s="3">
        <v>1350.0</v>
      </c>
      <c r="AJ87" s="3" t="str">
        <f t="array" ref="AJ87">IF(AA87="", "", XLOOKUP(AA87, 'Appendix B - Reason codes'!$A$4:$A$14, 'Appendix B - Reason codes'!$B$4:$B$14))</f>
        <v>Unhappy (with the team / programme)</v>
      </c>
    </row>
    <row r="88" ht="15.75" customHeight="1">
      <c r="A88" s="3" t="s">
        <v>36</v>
      </c>
      <c r="B88" s="3">
        <v>87.0</v>
      </c>
      <c r="C88" s="3" t="s">
        <v>37</v>
      </c>
      <c r="D88" s="3" t="s">
        <v>143</v>
      </c>
      <c r="E88" s="3" t="s">
        <v>147</v>
      </c>
      <c r="F88" s="3" t="s">
        <v>40</v>
      </c>
      <c r="G88" s="3">
        <v>19.0</v>
      </c>
      <c r="H88" s="3">
        <v>13273.0</v>
      </c>
      <c r="I88" s="3">
        <v>20.0</v>
      </c>
      <c r="J88" s="3">
        <v>12103.0</v>
      </c>
      <c r="K88" s="3">
        <v>13729.0</v>
      </c>
      <c r="L88" s="3">
        <v>303.0</v>
      </c>
      <c r="M88" s="3">
        <v>1308.0</v>
      </c>
      <c r="N88" s="3">
        <v>293.0</v>
      </c>
      <c r="O88" s="3">
        <v>9382.0</v>
      </c>
      <c r="P88" s="3">
        <v>583.0</v>
      </c>
      <c r="Q88" s="3">
        <v>83.0</v>
      </c>
      <c r="R88" s="3">
        <v>382.0</v>
      </c>
      <c r="S88" s="3">
        <v>264.0</v>
      </c>
      <c r="T88" s="3">
        <v>1312.0</v>
      </c>
      <c r="U88" s="3">
        <v>11.0</v>
      </c>
      <c r="V88" s="3">
        <v>23.0</v>
      </c>
      <c r="W88" s="3">
        <v>6.0</v>
      </c>
      <c r="X88" s="3">
        <v>13.0</v>
      </c>
      <c r="Y88" s="3">
        <v>5.0</v>
      </c>
      <c r="Z88" s="3">
        <v>10.0</v>
      </c>
      <c r="AA88" s="3" t="s">
        <v>51</v>
      </c>
      <c r="AB88" s="3">
        <v>8.0</v>
      </c>
      <c r="AC88" s="3">
        <v>15.0</v>
      </c>
      <c r="AD88" s="3">
        <v>7.0</v>
      </c>
      <c r="AE88" s="3">
        <v>14.0</v>
      </c>
      <c r="AF88" s="3">
        <v>1.0</v>
      </c>
      <c r="AG88" s="3">
        <v>1.0</v>
      </c>
      <c r="AH88" s="3">
        <v>13365.0</v>
      </c>
      <c r="AI88" s="3">
        <v>14350.0</v>
      </c>
      <c r="AJ88" s="3" t="str">
        <f t="array" ref="AJ88">IF(AA88="", "", XLOOKUP(AA88, 'Appendix B - Reason codes'!$A$4:$A$14, 'Appendix B - Reason codes'!$B$4:$B$14))</f>
        <v>Religious belief</v>
      </c>
    </row>
    <row r="89" ht="15.75" customHeight="1">
      <c r="A89" s="3" t="s">
        <v>36</v>
      </c>
      <c r="B89" s="3">
        <v>88.0</v>
      </c>
      <c r="C89" s="3" t="s">
        <v>37</v>
      </c>
      <c r="D89" s="3" t="s">
        <v>143</v>
      </c>
      <c r="E89" s="3" t="s">
        <v>148</v>
      </c>
      <c r="F89" s="3" t="s">
        <v>40</v>
      </c>
      <c r="G89" s="3">
        <v>28.0</v>
      </c>
      <c r="H89" s="3">
        <v>2046.0</v>
      </c>
      <c r="I89" s="3">
        <v>3.0</v>
      </c>
      <c r="J89" s="3">
        <v>1523.0</v>
      </c>
      <c r="K89" s="3">
        <v>2107.0</v>
      </c>
      <c r="L89" s="3">
        <v>67.0</v>
      </c>
      <c r="M89" s="3">
        <v>141.0</v>
      </c>
      <c r="N89" s="3">
        <v>80.0</v>
      </c>
      <c r="O89" s="3">
        <v>1277.0</v>
      </c>
      <c r="P89" s="3">
        <v>14.0</v>
      </c>
      <c r="Q89" s="3">
        <v>72.0</v>
      </c>
      <c r="R89" s="3">
        <v>74.0</v>
      </c>
      <c r="S89" s="3">
        <v>25.0</v>
      </c>
      <c r="T89" s="3">
        <v>185.0</v>
      </c>
      <c r="U89" s="3">
        <v>3.0</v>
      </c>
      <c r="V89" s="3">
        <v>6.0</v>
      </c>
      <c r="W89" s="3">
        <v>2.0</v>
      </c>
      <c r="X89" s="3">
        <v>4.0</v>
      </c>
      <c r="Y89" s="3">
        <v>1.0</v>
      </c>
      <c r="Z89" s="3">
        <v>2.0</v>
      </c>
      <c r="AA89" s="3" t="s">
        <v>46</v>
      </c>
      <c r="AB89" s="3">
        <v>2.0</v>
      </c>
      <c r="AC89" s="3">
        <v>3.0</v>
      </c>
      <c r="AD89" s="3">
        <v>2.0</v>
      </c>
      <c r="AE89" s="3">
        <v>3.0</v>
      </c>
      <c r="AF89" s="3">
        <v>0.0</v>
      </c>
      <c r="AG89" s="3">
        <v>0.0</v>
      </c>
      <c r="AH89" s="3">
        <v>1990.0</v>
      </c>
      <c r="AI89" s="3">
        <v>2200.0</v>
      </c>
      <c r="AJ89" s="3" t="str">
        <f t="array" ref="AJ89">IF(AA89="", "", XLOOKUP(AA89, 'Appendix B - Reason codes'!$A$4:$A$14, 'Appendix B - Reason codes'!$B$4:$B$14))</f>
        <v>Father didn’t allow</v>
      </c>
    </row>
    <row r="90" ht="15.75" customHeight="1">
      <c r="A90" s="3" t="s">
        <v>36</v>
      </c>
      <c r="B90" s="3">
        <v>89.0</v>
      </c>
      <c r="C90" s="3" t="s">
        <v>37</v>
      </c>
      <c r="D90" s="3" t="s">
        <v>143</v>
      </c>
      <c r="E90" s="3" t="s">
        <v>149</v>
      </c>
      <c r="F90" s="3" t="s">
        <v>40</v>
      </c>
      <c r="G90" s="3">
        <v>33.0</v>
      </c>
      <c r="H90" s="3">
        <v>2181.0</v>
      </c>
      <c r="I90" s="3">
        <v>3.0</v>
      </c>
      <c r="J90" s="3">
        <v>1551.0</v>
      </c>
      <c r="K90" s="3">
        <v>2396.0</v>
      </c>
      <c r="L90" s="3">
        <v>52.0</v>
      </c>
      <c r="M90" s="3">
        <v>11.0</v>
      </c>
      <c r="N90" s="3">
        <v>49.0</v>
      </c>
      <c r="O90" s="3">
        <v>1200.0</v>
      </c>
      <c r="P90" s="3">
        <v>74.0</v>
      </c>
      <c r="Q90" s="3">
        <v>22.0</v>
      </c>
      <c r="R90" s="3">
        <v>66.0</v>
      </c>
      <c r="S90" s="3">
        <v>14.0</v>
      </c>
      <c r="T90" s="3">
        <v>176.0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/>
      <c r="AB90" s="3">
        <v>3.0</v>
      </c>
      <c r="AC90" s="3">
        <v>4.0</v>
      </c>
      <c r="AD90" s="3">
        <v>3.0</v>
      </c>
      <c r="AE90" s="3">
        <v>3.0</v>
      </c>
      <c r="AF90" s="3">
        <v>0.0</v>
      </c>
      <c r="AG90" s="3">
        <v>1.0</v>
      </c>
      <c r="AH90" s="3">
        <v>2067.0</v>
      </c>
      <c r="AI90" s="3">
        <v>2300.0</v>
      </c>
      <c r="AJ90" s="3" t="str">
        <f t="array" ref="AJ90">IF(AA90="", "", XLOOKUP(AA90, 'Appendix B - Reason codes'!$A$4:$A$14, 'Appendix B - Reason codes'!$B$4:$B$14))</f>
        <v/>
      </c>
    </row>
    <row r="91" ht="15.75" customHeight="1">
      <c r="A91" s="3" t="s">
        <v>36</v>
      </c>
      <c r="B91" s="3">
        <v>90.0</v>
      </c>
      <c r="C91" s="3" t="s">
        <v>37</v>
      </c>
      <c r="D91" s="3" t="s">
        <v>143</v>
      </c>
      <c r="E91" s="3" t="s">
        <v>150</v>
      </c>
      <c r="F91" s="3" t="s">
        <v>40</v>
      </c>
      <c r="G91" s="3">
        <v>10.0</v>
      </c>
      <c r="H91" s="3">
        <v>4792.0</v>
      </c>
      <c r="I91" s="3">
        <v>7.0</v>
      </c>
      <c r="J91" s="3">
        <v>4064.0</v>
      </c>
      <c r="K91" s="3">
        <v>5131.0</v>
      </c>
      <c r="L91" s="3">
        <v>4.0</v>
      </c>
      <c r="M91" s="3">
        <v>401.0</v>
      </c>
      <c r="N91" s="3">
        <v>163.0</v>
      </c>
      <c r="O91" s="3">
        <v>3187.0</v>
      </c>
      <c r="P91" s="3">
        <v>151.0</v>
      </c>
      <c r="Q91" s="3">
        <v>78.0</v>
      </c>
      <c r="R91" s="3">
        <v>127.0</v>
      </c>
      <c r="S91" s="3">
        <v>28.0</v>
      </c>
      <c r="T91" s="3">
        <v>384.0</v>
      </c>
      <c r="U91" s="3">
        <v>7.0</v>
      </c>
      <c r="V91" s="3">
        <v>15.0</v>
      </c>
      <c r="W91" s="3">
        <v>4.0</v>
      </c>
      <c r="X91" s="3">
        <v>9.0</v>
      </c>
      <c r="Y91" s="3">
        <v>3.0</v>
      </c>
      <c r="Z91" s="3">
        <v>6.0</v>
      </c>
      <c r="AA91" s="3" t="s">
        <v>78</v>
      </c>
      <c r="AB91" s="3">
        <v>10.0</v>
      </c>
      <c r="AC91" s="3">
        <v>18.0</v>
      </c>
      <c r="AD91" s="3">
        <v>9.0</v>
      </c>
      <c r="AE91" s="3">
        <v>16.0</v>
      </c>
      <c r="AF91" s="3">
        <v>1.0</v>
      </c>
      <c r="AG91" s="3">
        <v>2.0</v>
      </c>
      <c r="AH91" s="3">
        <v>4071.0</v>
      </c>
      <c r="AI91" s="3">
        <v>4400.0</v>
      </c>
      <c r="AJ91" s="3" t="str">
        <f t="array" ref="AJ91">IF(AA91="", "", XLOOKUP(AA91, 'Appendix B - Reason codes'!$A$4:$A$14, 'Appendix B - Reason codes'!$B$4:$B$14))</f>
        <v>Child sick</v>
      </c>
    </row>
    <row r="92" ht="15.75" customHeight="1">
      <c r="A92" s="3" t="s">
        <v>151</v>
      </c>
      <c r="B92" s="3">
        <v>91.0</v>
      </c>
      <c r="C92" s="3" t="s">
        <v>37</v>
      </c>
      <c r="D92" s="3" t="s">
        <v>38</v>
      </c>
      <c r="E92" s="3" t="s">
        <v>39</v>
      </c>
      <c r="F92" s="3" t="s">
        <v>152</v>
      </c>
      <c r="G92" s="3">
        <v>11.0</v>
      </c>
      <c r="H92" s="3">
        <v>8166.0</v>
      </c>
      <c r="I92" s="3">
        <v>12.0</v>
      </c>
      <c r="J92" s="3">
        <v>7929.0</v>
      </c>
      <c r="K92" s="3">
        <v>9108.0</v>
      </c>
      <c r="L92" s="3">
        <v>258.0</v>
      </c>
      <c r="M92" s="3">
        <v>354.0</v>
      </c>
      <c r="N92" s="3">
        <v>67.0</v>
      </c>
      <c r="O92" s="3">
        <v>6081.0</v>
      </c>
      <c r="P92" s="3">
        <v>198.0</v>
      </c>
      <c r="Q92" s="3">
        <v>34.0</v>
      </c>
      <c r="R92" s="3">
        <v>267.0</v>
      </c>
      <c r="S92" s="3">
        <v>76.0</v>
      </c>
      <c r="T92" s="3">
        <v>575.0</v>
      </c>
      <c r="U92" s="3">
        <v>5.0</v>
      </c>
      <c r="V92" s="3">
        <v>8.0</v>
      </c>
      <c r="W92" s="3">
        <v>4.0</v>
      </c>
      <c r="X92" s="3">
        <v>7.0</v>
      </c>
      <c r="Y92" s="3">
        <v>1.0</v>
      </c>
      <c r="Z92" s="3">
        <v>1.0</v>
      </c>
      <c r="AA92" s="3" t="s">
        <v>59</v>
      </c>
      <c r="AB92" s="3">
        <v>10.0</v>
      </c>
      <c r="AC92" s="3">
        <v>18.0</v>
      </c>
      <c r="AD92" s="3">
        <v>9.0</v>
      </c>
      <c r="AE92" s="3">
        <v>15.0</v>
      </c>
      <c r="AF92" s="3">
        <v>1.0</v>
      </c>
      <c r="AG92" s="3">
        <v>3.0</v>
      </c>
      <c r="AH92" s="3">
        <v>7888.0</v>
      </c>
      <c r="AI92" s="3">
        <v>8850.0</v>
      </c>
      <c r="AJ92" s="3" t="str">
        <f t="array" ref="AJ92">IF(AA92="", "", XLOOKUP(AA92, 'Appendix B - Reason codes'!$A$4:$A$14, 'Appendix B - Reason codes'!$B$4:$B$14))</f>
        <v>Concerned about adverse effect</v>
      </c>
    </row>
    <row r="93" ht="15.75" customHeight="1">
      <c r="A93" s="3" t="s">
        <v>151</v>
      </c>
      <c r="B93" s="3">
        <v>92.0</v>
      </c>
      <c r="C93" s="3" t="s">
        <v>37</v>
      </c>
      <c r="D93" s="3" t="s">
        <v>38</v>
      </c>
      <c r="E93" s="3" t="s">
        <v>42</v>
      </c>
      <c r="F93" s="3" t="s">
        <v>152</v>
      </c>
      <c r="G93" s="3">
        <v>10.0</v>
      </c>
      <c r="H93" s="3">
        <v>2304.0</v>
      </c>
      <c r="I93" s="3">
        <v>3.0</v>
      </c>
      <c r="J93" s="3">
        <v>1877.0</v>
      </c>
      <c r="K93" s="3">
        <v>2362.0</v>
      </c>
      <c r="L93" s="3">
        <v>50.0</v>
      </c>
      <c r="M93" s="3">
        <v>210.0</v>
      </c>
      <c r="N93" s="3">
        <v>15.0</v>
      </c>
      <c r="O93" s="3">
        <v>1945.0</v>
      </c>
      <c r="P93" s="3">
        <v>1.0</v>
      </c>
      <c r="Q93" s="3">
        <v>61.0</v>
      </c>
      <c r="R93" s="3">
        <v>33.0</v>
      </c>
      <c r="S93" s="3">
        <v>5.0</v>
      </c>
      <c r="T93" s="3">
        <v>100.0</v>
      </c>
      <c r="U93" s="3">
        <v>1.0</v>
      </c>
      <c r="V93" s="3">
        <v>2.0</v>
      </c>
      <c r="W93" s="3">
        <v>1.0</v>
      </c>
      <c r="X93" s="3">
        <v>2.0</v>
      </c>
      <c r="Y93" s="3">
        <v>0.0</v>
      </c>
      <c r="Z93" s="3">
        <v>0.0</v>
      </c>
      <c r="AA93" s="3" t="s">
        <v>59</v>
      </c>
      <c r="AB93" s="3">
        <v>3.0</v>
      </c>
      <c r="AC93" s="3">
        <v>5.0</v>
      </c>
      <c r="AD93" s="3">
        <v>2.0</v>
      </c>
      <c r="AE93" s="3">
        <v>4.0</v>
      </c>
      <c r="AF93" s="3">
        <v>1.0</v>
      </c>
      <c r="AG93" s="3">
        <v>1.0</v>
      </c>
      <c r="AH93" s="3">
        <v>2326.0</v>
      </c>
      <c r="AI93" s="3">
        <v>2600.0</v>
      </c>
      <c r="AJ93" s="3" t="str">
        <f t="array" ref="AJ93">IF(AA93="", "", XLOOKUP(AA93, 'Appendix B - Reason codes'!$A$4:$A$14, 'Appendix B - Reason codes'!$B$4:$B$14))</f>
        <v>Concerned about adverse effect</v>
      </c>
    </row>
    <row r="94" ht="15.75" customHeight="1">
      <c r="A94" s="3" t="s">
        <v>151</v>
      </c>
      <c r="B94" s="3">
        <v>93.0</v>
      </c>
      <c r="C94" s="3" t="s">
        <v>37</v>
      </c>
      <c r="D94" s="3" t="s">
        <v>38</v>
      </c>
      <c r="E94" s="3" t="s">
        <v>44</v>
      </c>
      <c r="F94" s="3" t="s">
        <v>152</v>
      </c>
      <c r="G94" s="3">
        <v>10.0</v>
      </c>
      <c r="H94" s="3">
        <v>2712.0</v>
      </c>
      <c r="I94" s="3">
        <v>4.0</v>
      </c>
      <c r="J94" s="3">
        <v>2199.0</v>
      </c>
      <c r="K94" s="3">
        <v>2862.0</v>
      </c>
      <c r="L94" s="3">
        <v>45.0</v>
      </c>
      <c r="M94" s="3">
        <v>11.0</v>
      </c>
      <c r="N94" s="3">
        <v>105.0</v>
      </c>
      <c r="O94" s="3">
        <v>1873.0</v>
      </c>
      <c r="P94" s="3">
        <v>97.0</v>
      </c>
      <c r="Q94" s="3">
        <v>98.0</v>
      </c>
      <c r="R94" s="3">
        <v>87.0</v>
      </c>
      <c r="S94" s="3">
        <v>35.0</v>
      </c>
      <c r="T94" s="3">
        <v>317.0</v>
      </c>
      <c r="U94" s="3">
        <v>1.0</v>
      </c>
      <c r="V94" s="3">
        <v>2.0</v>
      </c>
      <c r="W94" s="3">
        <v>1.0</v>
      </c>
      <c r="X94" s="3">
        <v>2.0</v>
      </c>
      <c r="Y94" s="3">
        <v>0.0</v>
      </c>
      <c r="Z94" s="3">
        <v>0.0</v>
      </c>
      <c r="AA94" s="3" t="s">
        <v>51</v>
      </c>
      <c r="AB94" s="3">
        <v>1.0</v>
      </c>
      <c r="AC94" s="3">
        <v>1.0</v>
      </c>
      <c r="AD94" s="3">
        <v>1.0</v>
      </c>
      <c r="AE94" s="3">
        <v>1.0</v>
      </c>
      <c r="AF94" s="3">
        <v>0.0</v>
      </c>
      <c r="AG94" s="3">
        <v>0.0</v>
      </c>
      <c r="AH94" s="3">
        <v>2851.0</v>
      </c>
      <c r="AI94" s="3">
        <v>3050.0</v>
      </c>
      <c r="AJ94" s="3" t="str">
        <f t="array" ref="AJ94">IF(AA94="", "", XLOOKUP(AA94, 'Appendix B - Reason codes'!$A$4:$A$14, 'Appendix B - Reason codes'!$B$4:$B$14))</f>
        <v>Religious belief</v>
      </c>
    </row>
    <row r="95" ht="15.75" customHeight="1">
      <c r="A95" s="3" t="s">
        <v>151</v>
      </c>
      <c r="B95" s="3">
        <v>94.0</v>
      </c>
      <c r="C95" s="3" t="s">
        <v>37</v>
      </c>
      <c r="D95" s="3" t="s">
        <v>38</v>
      </c>
      <c r="E95" s="3" t="s">
        <v>45</v>
      </c>
      <c r="F95" s="3" t="s">
        <v>152</v>
      </c>
      <c r="G95" s="3">
        <v>48.0</v>
      </c>
      <c r="H95" s="3">
        <v>7282.0</v>
      </c>
      <c r="I95" s="3">
        <v>11.0</v>
      </c>
      <c r="J95" s="3">
        <v>7046.0</v>
      </c>
      <c r="K95" s="3">
        <v>7762.0</v>
      </c>
      <c r="L95" s="3">
        <v>283.0</v>
      </c>
      <c r="M95" s="3">
        <v>331.0</v>
      </c>
      <c r="N95" s="3">
        <v>37.0</v>
      </c>
      <c r="O95" s="3">
        <v>4268.0</v>
      </c>
      <c r="P95" s="3">
        <v>97.0</v>
      </c>
      <c r="Q95" s="3">
        <v>142.0</v>
      </c>
      <c r="R95" s="3">
        <v>350.0</v>
      </c>
      <c r="S95" s="3">
        <v>36.0</v>
      </c>
      <c r="T95" s="3">
        <v>625.0</v>
      </c>
      <c r="U95" s="3">
        <v>6.0</v>
      </c>
      <c r="V95" s="3">
        <v>9.0</v>
      </c>
      <c r="W95" s="3">
        <v>6.0</v>
      </c>
      <c r="X95" s="3">
        <v>9.0</v>
      </c>
      <c r="Y95" s="3">
        <v>0.0</v>
      </c>
      <c r="Z95" s="3">
        <v>0.0</v>
      </c>
      <c r="AA95" s="3" t="s">
        <v>61</v>
      </c>
      <c r="AB95" s="3">
        <v>8.0</v>
      </c>
      <c r="AC95" s="3">
        <v>11.0</v>
      </c>
      <c r="AD95" s="3">
        <v>6.0</v>
      </c>
      <c r="AE95" s="3">
        <v>9.0</v>
      </c>
      <c r="AF95" s="3">
        <v>2.0</v>
      </c>
      <c r="AG95" s="3">
        <v>2.0</v>
      </c>
      <c r="AH95" s="3">
        <v>7121.0</v>
      </c>
      <c r="AI95" s="3">
        <v>7950.0</v>
      </c>
      <c r="AJ95" s="3" t="str">
        <f t="array" ref="AJ95">IF(AA95="", "", XLOOKUP(AA95, 'Appendix B - Reason codes'!$A$4:$A$14, 'Appendix B - Reason codes'!$B$4:$B$14))</f>
        <v>No reason given</v>
      </c>
    </row>
    <row r="96" ht="15.75" customHeight="1">
      <c r="A96" s="3" t="s">
        <v>151</v>
      </c>
      <c r="B96" s="3">
        <v>95.0</v>
      </c>
      <c r="C96" s="3" t="s">
        <v>37</v>
      </c>
      <c r="D96" s="3" t="s">
        <v>38</v>
      </c>
      <c r="E96" s="3" t="s">
        <v>47</v>
      </c>
      <c r="F96" s="3" t="s">
        <v>152</v>
      </c>
      <c r="G96" s="3">
        <v>36.0</v>
      </c>
      <c r="H96" s="3">
        <v>8647.0</v>
      </c>
      <c r="I96" s="3">
        <v>13.0</v>
      </c>
      <c r="J96" s="3">
        <v>6960.0</v>
      </c>
      <c r="K96" s="3">
        <v>8733.0</v>
      </c>
      <c r="L96" s="3">
        <v>134.0</v>
      </c>
      <c r="M96" s="3">
        <v>448.0</v>
      </c>
      <c r="N96" s="3">
        <v>108.0</v>
      </c>
      <c r="O96" s="3">
        <v>5464.0</v>
      </c>
      <c r="P96" s="3">
        <v>179.0</v>
      </c>
      <c r="Q96" s="3">
        <v>46.0</v>
      </c>
      <c r="R96" s="3">
        <v>179.0</v>
      </c>
      <c r="S96" s="3">
        <v>91.0</v>
      </c>
      <c r="T96" s="3">
        <v>495.0</v>
      </c>
      <c r="U96" s="3">
        <v>5.0</v>
      </c>
      <c r="V96" s="3">
        <v>10.0</v>
      </c>
      <c r="W96" s="3">
        <v>4.0</v>
      </c>
      <c r="X96" s="3">
        <v>9.0</v>
      </c>
      <c r="Y96" s="3">
        <v>1.0</v>
      </c>
      <c r="Z96" s="3">
        <v>1.0</v>
      </c>
      <c r="AA96" s="3" t="s">
        <v>41</v>
      </c>
      <c r="AB96" s="3">
        <v>5.0</v>
      </c>
      <c r="AC96" s="3">
        <v>7.0</v>
      </c>
      <c r="AD96" s="3">
        <v>5.0</v>
      </c>
      <c r="AE96" s="3">
        <v>6.0</v>
      </c>
      <c r="AF96" s="3">
        <v>0.0</v>
      </c>
      <c r="AG96" s="3">
        <v>1.0</v>
      </c>
      <c r="AH96" s="3">
        <v>7878.0</v>
      </c>
      <c r="AI96" s="3">
        <v>8800.0</v>
      </c>
      <c r="AJ96" s="3" t="str">
        <f t="array" ref="AJ96">IF(AA96="", "", XLOOKUP(AA96, 'Appendix B - Reason codes'!$A$4:$A$14, 'Appendix B - Reason codes'!$B$4:$B$14))</f>
        <v>Fatigue from many rounds</v>
      </c>
    </row>
    <row r="97" ht="15.75" customHeight="1">
      <c r="A97" s="3" t="s">
        <v>151</v>
      </c>
      <c r="B97" s="3">
        <v>96.0</v>
      </c>
      <c r="C97" s="3" t="s">
        <v>37</v>
      </c>
      <c r="D97" s="3" t="s">
        <v>38</v>
      </c>
      <c r="E97" s="3" t="s">
        <v>48</v>
      </c>
      <c r="F97" s="3" t="s">
        <v>152</v>
      </c>
      <c r="G97" s="3">
        <v>32.0</v>
      </c>
      <c r="H97" s="3">
        <v>6481.0</v>
      </c>
      <c r="I97" s="3">
        <v>9.0</v>
      </c>
      <c r="J97" s="3">
        <v>5230.0</v>
      </c>
      <c r="K97" s="3">
        <v>6971.0</v>
      </c>
      <c r="L97" s="3">
        <v>105.0</v>
      </c>
      <c r="M97" s="3">
        <v>356.0</v>
      </c>
      <c r="N97" s="3">
        <v>237.0</v>
      </c>
      <c r="O97" s="3">
        <v>4574.0</v>
      </c>
      <c r="P97" s="3">
        <v>2.0</v>
      </c>
      <c r="Q97" s="3">
        <v>2.0</v>
      </c>
      <c r="R97" s="3">
        <v>101.0</v>
      </c>
      <c r="S97" s="3">
        <v>104.0</v>
      </c>
      <c r="T97" s="3">
        <v>209.0</v>
      </c>
      <c r="U97" s="3">
        <v>6.0</v>
      </c>
      <c r="V97" s="3">
        <v>13.0</v>
      </c>
      <c r="W97" s="3">
        <v>5.0</v>
      </c>
      <c r="X97" s="3">
        <v>11.0</v>
      </c>
      <c r="Y97" s="3">
        <v>1.0</v>
      </c>
      <c r="Z97" s="3">
        <v>2.0</v>
      </c>
      <c r="AA97" s="3" t="s">
        <v>43</v>
      </c>
      <c r="AB97" s="3">
        <v>11.0</v>
      </c>
      <c r="AC97" s="3">
        <v>16.0</v>
      </c>
      <c r="AD97" s="3">
        <v>9.0</v>
      </c>
      <c r="AE97" s="3">
        <v>13.0</v>
      </c>
      <c r="AF97" s="3">
        <v>2.0</v>
      </c>
      <c r="AG97" s="3">
        <v>3.0</v>
      </c>
      <c r="AH97" s="3">
        <v>5672.0</v>
      </c>
      <c r="AI97" s="3">
        <v>6250.0</v>
      </c>
      <c r="AJ97" s="3" t="str">
        <f t="array" ref="AJ97">IF(AA97="", "", XLOOKUP(AA97, 'Appendix B - Reason codes'!$A$4:$A$14, 'Appendix B - Reason codes'!$B$4:$B$14))</f>
        <v>Unhappy (with the team / programme)</v>
      </c>
    </row>
    <row r="98" ht="15.75" customHeight="1">
      <c r="A98" s="3" t="s">
        <v>151</v>
      </c>
      <c r="B98" s="3">
        <v>97.0</v>
      </c>
      <c r="C98" s="3" t="s">
        <v>37</v>
      </c>
      <c r="D98" s="3" t="s">
        <v>38</v>
      </c>
      <c r="E98" s="3" t="s">
        <v>49</v>
      </c>
      <c r="F98" s="3" t="s">
        <v>152</v>
      </c>
      <c r="G98" s="3">
        <v>39.0</v>
      </c>
      <c r="H98" s="3">
        <v>7388.0</v>
      </c>
      <c r="I98" s="3">
        <v>11.0</v>
      </c>
      <c r="J98" s="3">
        <v>6663.0</v>
      </c>
      <c r="K98" s="3">
        <v>7561.0</v>
      </c>
      <c r="L98" s="3">
        <v>260.0</v>
      </c>
      <c r="M98" s="3">
        <v>446.0</v>
      </c>
      <c r="N98" s="3">
        <v>162.0</v>
      </c>
      <c r="O98" s="3">
        <v>5021.0</v>
      </c>
      <c r="P98" s="3">
        <v>353.0</v>
      </c>
      <c r="Q98" s="3">
        <v>170.0</v>
      </c>
      <c r="R98" s="3">
        <v>63.0</v>
      </c>
      <c r="S98" s="3">
        <v>96.0</v>
      </c>
      <c r="T98" s="3">
        <v>682.0</v>
      </c>
      <c r="U98" s="3">
        <v>8.0</v>
      </c>
      <c r="V98" s="3">
        <v>12.0</v>
      </c>
      <c r="W98" s="3">
        <v>8.0</v>
      </c>
      <c r="X98" s="3">
        <v>11.0</v>
      </c>
      <c r="Y98" s="3">
        <v>0.0</v>
      </c>
      <c r="Z98" s="3">
        <v>1.0</v>
      </c>
      <c r="AA98" s="3" t="s">
        <v>43</v>
      </c>
      <c r="AB98" s="3">
        <v>7.0</v>
      </c>
      <c r="AC98" s="3">
        <v>11.0</v>
      </c>
      <c r="AD98" s="3">
        <v>6.0</v>
      </c>
      <c r="AE98" s="3">
        <v>10.0</v>
      </c>
      <c r="AF98" s="3">
        <v>1.0</v>
      </c>
      <c r="AG98" s="3">
        <v>1.0</v>
      </c>
      <c r="AH98" s="3">
        <v>7150.0</v>
      </c>
      <c r="AI98" s="3">
        <v>7850.0</v>
      </c>
      <c r="AJ98" s="3" t="str">
        <f t="array" ref="AJ98">IF(AA98="", "", XLOOKUP(AA98, 'Appendix B - Reason codes'!$A$4:$A$14, 'Appendix B - Reason codes'!$B$4:$B$14))</f>
        <v>Unhappy (with the team / programme)</v>
      </c>
    </row>
    <row r="99" ht="15.75" customHeight="1">
      <c r="A99" s="3" t="s">
        <v>151</v>
      </c>
      <c r="B99" s="3">
        <v>98.0</v>
      </c>
      <c r="C99" s="3" t="s">
        <v>37</v>
      </c>
      <c r="D99" s="3" t="s">
        <v>38</v>
      </c>
      <c r="E99" s="3" t="s">
        <v>50</v>
      </c>
      <c r="F99" s="3" t="s">
        <v>152</v>
      </c>
      <c r="G99" s="3">
        <v>11.0</v>
      </c>
      <c r="H99" s="3">
        <v>2854.0</v>
      </c>
      <c r="I99" s="3">
        <v>4.0</v>
      </c>
      <c r="J99" s="3">
        <v>2455.0</v>
      </c>
      <c r="K99" s="3">
        <v>2857.0</v>
      </c>
      <c r="L99" s="3">
        <v>5.0</v>
      </c>
      <c r="M99" s="3">
        <v>66.0</v>
      </c>
      <c r="N99" s="3">
        <v>46.0</v>
      </c>
      <c r="O99" s="3">
        <v>2400.0</v>
      </c>
      <c r="P99" s="3">
        <v>46.0</v>
      </c>
      <c r="Q99" s="3">
        <v>51.0</v>
      </c>
      <c r="R99" s="3">
        <v>30.0</v>
      </c>
      <c r="S99" s="3">
        <v>51.0</v>
      </c>
      <c r="T99" s="3">
        <v>178.0</v>
      </c>
      <c r="U99" s="3">
        <v>3.0</v>
      </c>
      <c r="V99" s="3">
        <v>6.0</v>
      </c>
      <c r="W99" s="3">
        <v>3.0</v>
      </c>
      <c r="X99" s="3">
        <v>5.0</v>
      </c>
      <c r="Y99" s="3">
        <v>0.0</v>
      </c>
      <c r="Z99" s="3">
        <v>1.0</v>
      </c>
      <c r="AA99" s="3" t="s">
        <v>43</v>
      </c>
      <c r="AB99" s="3">
        <v>2.0</v>
      </c>
      <c r="AC99" s="3">
        <v>3.0</v>
      </c>
      <c r="AD99" s="3">
        <v>2.0</v>
      </c>
      <c r="AE99" s="3">
        <v>2.0</v>
      </c>
      <c r="AF99" s="3">
        <v>0.0</v>
      </c>
      <c r="AG99" s="3">
        <v>1.0</v>
      </c>
      <c r="AH99" s="3">
        <v>2968.0</v>
      </c>
      <c r="AI99" s="3">
        <v>3300.0</v>
      </c>
      <c r="AJ99" s="3" t="str">
        <f t="array" ref="AJ99">IF(AA99="", "", XLOOKUP(AA99, 'Appendix B - Reason codes'!$A$4:$A$14, 'Appendix B - Reason codes'!$B$4:$B$14))</f>
        <v>Unhappy (with the team / programme)</v>
      </c>
    </row>
    <row r="100" ht="15.75" customHeight="1">
      <c r="A100" s="3" t="s">
        <v>151</v>
      </c>
      <c r="B100" s="3">
        <v>99.0</v>
      </c>
      <c r="C100" s="3" t="s">
        <v>37</v>
      </c>
      <c r="D100" s="3" t="s">
        <v>38</v>
      </c>
      <c r="E100" s="3" t="s">
        <v>52</v>
      </c>
      <c r="F100" s="3" t="s">
        <v>152</v>
      </c>
      <c r="G100" s="3">
        <v>42.0</v>
      </c>
      <c r="H100" s="3">
        <v>12157.0</v>
      </c>
      <c r="I100" s="3">
        <v>18.0</v>
      </c>
      <c r="J100" s="3">
        <v>9784.0</v>
      </c>
      <c r="K100" s="3">
        <v>12803.0</v>
      </c>
      <c r="L100" s="3">
        <v>129.0</v>
      </c>
      <c r="M100" s="3">
        <v>665.0</v>
      </c>
      <c r="N100" s="3">
        <v>478.0</v>
      </c>
      <c r="O100" s="3">
        <v>9975.0</v>
      </c>
      <c r="P100" s="3">
        <v>426.0</v>
      </c>
      <c r="Q100" s="3">
        <v>261.0</v>
      </c>
      <c r="R100" s="3">
        <v>24.0</v>
      </c>
      <c r="S100" s="3">
        <v>193.0</v>
      </c>
      <c r="T100" s="3">
        <v>904.0</v>
      </c>
      <c r="U100" s="3">
        <v>6.0</v>
      </c>
      <c r="V100" s="3">
        <v>10.0</v>
      </c>
      <c r="W100" s="3">
        <v>5.0</v>
      </c>
      <c r="X100" s="3">
        <v>9.0</v>
      </c>
      <c r="Y100" s="3">
        <v>1.0</v>
      </c>
      <c r="Z100" s="3">
        <v>1.0</v>
      </c>
      <c r="AA100" s="3" t="s">
        <v>46</v>
      </c>
      <c r="AB100" s="3">
        <v>17.0</v>
      </c>
      <c r="AC100" s="3">
        <v>33.0</v>
      </c>
      <c r="AD100" s="3">
        <v>16.0</v>
      </c>
      <c r="AE100" s="3">
        <v>31.0</v>
      </c>
      <c r="AF100" s="3">
        <v>1.0</v>
      </c>
      <c r="AG100" s="3">
        <v>2.0</v>
      </c>
      <c r="AH100" s="3">
        <v>12620.0</v>
      </c>
      <c r="AI100" s="3">
        <v>13750.0</v>
      </c>
      <c r="AJ100" s="3" t="str">
        <f t="array" ref="AJ100">IF(AA100="", "", XLOOKUP(AA100, 'Appendix B - Reason codes'!$A$4:$A$14, 'Appendix B - Reason codes'!$B$4:$B$14))</f>
        <v>Father didn’t allow</v>
      </c>
    </row>
    <row r="101" ht="15.75" customHeight="1">
      <c r="A101" s="3" t="s">
        <v>151</v>
      </c>
      <c r="B101" s="3">
        <v>100.0</v>
      </c>
      <c r="C101" s="3" t="s">
        <v>37</v>
      </c>
      <c r="D101" s="3" t="s">
        <v>38</v>
      </c>
      <c r="E101" s="3" t="s">
        <v>53</v>
      </c>
      <c r="F101" s="3" t="s">
        <v>152</v>
      </c>
      <c r="G101" s="3">
        <v>17.0</v>
      </c>
      <c r="H101" s="3">
        <v>7769.0</v>
      </c>
      <c r="I101" s="3">
        <v>11.0</v>
      </c>
      <c r="J101" s="3">
        <v>7255.0</v>
      </c>
      <c r="K101" s="3">
        <v>7795.0</v>
      </c>
      <c r="L101" s="3">
        <v>35.0</v>
      </c>
      <c r="M101" s="3">
        <v>330.0</v>
      </c>
      <c r="N101" s="3">
        <v>51.0</v>
      </c>
      <c r="O101" s="3">
        <v>5856.0</v>
      </c>
      <c r="P101" s="3">
        <v>112.0</v>
      </c>
      <c r="Q101" s="3">
        <v>196.0</v>
      </c>
      <c r="R101" s="3">
        <v>253.0</v>
      </c>
      <c r="S101" s="3">
        <v>209.0</v>
      </c>
      <c r="T101" s="3">
        <v>770.0</v>
      </c>
      <c r="U101" s="3">
        <v>4.0</v>
      </c>
      <c r="V101" s="3">
        <v>7.0</v>
      </c>
      <c r="W101" s="3">
        <v>4.0</v>
      </c>
      <c r="X101" s="3">
        <v>6.0</v>
      </c>
      <c r="Y101" s="3">
        <v>0.0</v>
      </c>
      <c r="Z101" s="3">
        <v>1.0</v>
      </c>
      <c r="AA101" s="3" t="s">
        <v>43</v>
      </c>
      <c r="AB101" s="3">
        <v>8.0</v>
      </c>
      <c r="AC101" s="3">
        <v>14.0</v>
      </c>
      <c r="AD101" s="3">
        <v>7.0</v>
      </c>
      <c r="AE101" s="3">
        <v>12.0</v>
      </c>
      <c r="AF101" s="3">
        <v>1.0</v>
      </c>
      <c r="AG101" s="3">
        <v>2.0</v>
      </c>
      <c r="AH101" s="3">
        <v>7661.0</v>
      </c>
      <c r="AI101" s="3">
        <v>8650.0</v>
      </c>
      <c r="AJ101" s="3" t="str">
        <f t="array" ref="AJ101">IF(AA101="", "", XLOOKUP(AA101, 'Appendix B - Reason codes'!$A$4:$A$14, 'Appendix B - Reason codes'!$B$4:$B$14))</f>
        <v>Unhappy (with the team / programme)</v>
      </c>
    </row>
    <row r="102" ht="15.75" customHeight="1">
      <c r="A102" s="3" t="s">
        <v>151</v>
      </c>
      <c r="B102" s="3">
        <v>101.0</v>
      </c>
      <c r="C102" s="3" t="s">
        <v>37</v>
      </c>
      <c r="D102" s="3" t="s">
        <v>54</v>
      </c>
      <c r="E102" s="3" t="s">
        <v>55</v>
      </c>
      <c r="F102" s="3" t="s">
        <v>152</v>
      </c>
      <c r="G102" s="3">
        <v>21.0</v>
      </c>
      <c r="H102" s="3">
        <v>3727.0</v>
      </c>
      <c r="I102" s="3">
        <v>5.0</v>
      </c>
      <c r="J102" s="3">
        <v>3041.0</v>
      </c>
      <c r="K102" s="3">
        <v>4110.0</v>
      </c>
      <c r="L102" s="3">
        <v>102.0</v>
      </c>
      <c r="M102" s="3">
        <v>238.0</v>
      </c>
      <c r="N102" s="3">
        <v>85.0</v>
      </c>
      <c r="O102" s="3">
        <v>2306.0</v>
      </c>
      <c r="P102" s="3">
        <v>10.0</v>
      </c>
      <c r="Q102" s="3">
        <v>84.0</v>
      </c>
      <c r="R102" s="3">
        <v>75.0</v>
      </c>
      <c r="S102" s="3">
        <v>42.0</v>
      </c>
      <c r="T102" s="3">
        <v>211.0</v>
      </c>
      <c r="U102" s="3">
        <v>1.0</v>
      </c>
      <c r="V102" s="3">
        <v>2.0</v>
      </c>
      <c r="W102" s="3">
        <v>1.0</v>
      </c>
      <c r="X102" s="3">
        <v>2.0</v>
      </c>
      <c r="Y102" s="3">
        <v>0.0</v>
      </c>
      <c r="Z102" s="3">
        <v>0.0</v>
      </c>
      <c r="AA102" s="3" t="s">
        <v>51</v>
      </c>
      <c r="AB102" s="3">
        <v>4.0</v>
      </c>
      <c r="AC102" s="3">
        <v>7.0</v>
      </c>
      <c r="AD102" s="3">
        <v>3.0</v>
      </c>
      <c r="AE102" s="3">
        <v>6.0</v>
      </c>
      <c r="AF102" s="3">
        <v>1.0</v>
      </c>
      <c r="AG102" s="3">
        <v>1.0</v>
      </c>
      <c r="AH102" s="3">
        <v>3422.0</v>
      </c>
      <c r="AI102" s="3">
        <v>3700.0</v>
      </c>
      <c r="AJ102" s="3" t="str">
        <f t="array" ref="AJ102">IF(AA102="", "", XLOOKUP(AA102, 'Appendix B - Reason codes'!$A$4:$A$14, 'Appendix B - Reason codes'!$B$4:$B$14))</f>
        <v>Religious belief</v>
      </c>
    </row>
    <row r="103" ht="15.75" customHeight="1">
      <c r="A103" s="3" t="s">
        <v>151</v>
      </c>
      <c r="B103" s="3">
        <v>102.0</v>
      </c>
      <c r="C103" s="3" t="s">
        <v>37</v>
      </c>
      <c r="D103" s="3" t="s">
        <v>54</v>
      </c>
      <c r="E103" s="3" t="s">
        <v>56</v>
      </c>
      <c r="F103" s="3" t="s">
        <v>152</v>
      </c>
      <c r="G103" s="3">
        <v>21.0</v>
      </c>
      <c r="H103" s="3">
        <v>4599.0</v>
      </c>
      <c r="I103" s="3">
        <v>7.0</v>
      </c>
      <c r="J103" s="3">
        <v>4426.0</v>
      </c>
      <c r="K103" s="3">
        <v>4737.0</v>
      </c>
      <c r="L103" s="3">
        <v>0.0</v>
      </c>
      <c r="M103" s="3">
        <v>381.0</v>
      </c>
      <c r="N103" s="3">
        <v>114.0</v>
      </c>
      <c r="O103" s="3">
        <v>2633.0</v>
      </c>
      <c r="P103" s="3">
        <v>46.0</v>
      </c>
      <c r="Q103" s="3">
        <v>113.0</v>
      </c>
      <c r="R103" s="3">
        <v>19.0</v>
      </c>
      <c r="S103" s="3">
        <v>55.0</v>
      </c>
      <c r="T103" s="3">
        <v>233.0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/>
      <c r="AB103" s="3">
        <v>5.0</v>
      </c>
      <c r="AC103" s="3">
        <v>7.0</v>
      </c>
      <c r="AD103" s="3">
        <v>5.0</v>
      </c>
      <c r="AE103" s="3">
        <v>6.0</v>
      </c>
      <c r="AF103" s="3">
        <v>0.0</v>
      </c>
      <c r="AG103" s="3">
        <v>1.0</v>
      </c>
      <c r="AH103" s="3">
        <v>3980.0</v>
      </c>
      <c r="AI103" s="3">
        <v>4300.0</v>
      </c>
      <c r="AJ103" s="3" t="str">
        <f t="array" ref="AJ103">IF(AA103="", "", XLOOKUP(AA103, 'Appendix B - Reason codes'!$A$4:$A$14, 'Appendix B - Reason codes'!$B$4:$B$14))</f>
        <v/>
      </c>
    </row>
    <row r="104" ht="15.75" customHeight="1">
      <c r="A104" s="3" t="s">
        <v>151</v>
      </c>
      <c r="B104" s="3">
        <v>103.0</v>
      </c>
      <c r="C104" s="3" t="s">
        <v>37</v>
      </c>
      <c r="D104" s="3" t="s">
        <v>54</v>
      </c>
      <c r="E104" s="3" t="s">
        <v>57</v>
      </c>
      <c r="F104" s="3" t="s">
        <v>152</v>
      </c>
      <c r="G104" s="3">
        <v>40.0</v>
      </c>
      <c r="H104" s="3">
        <v>22008.0</v>
      </c>
      <c r="I104" s="3">
        <v>33.0</v>
      </c>
      <c r="J104" s="3">
        <v>18792.0</v>
      </c>
      <c r="K104" s="3">
        <v>24341.0</v>
      </c>
      <c r="L104" s="3">
        <v>145.0</v>
      </c>
      <c r="M104" s="3">
        <v>2060.0</v>
      </c>
      <c r="N104" s="3">
        <v>813.0</v>
      </c>
      <c r="O104" s="3">
        <v>14885.0</v>
      </c>
      <c r="P104" s="3">
        <v>981.0</v>
      </c>
      <c r="Q104" s="3">
        <v>223.0</v>
      </c>
      <c r="R104" s="3">
        <v>557.0</v>
      </c>
      <c r="S104" s="3">
        <v>355.0</v>
      </c>
      <c r="T104" s="3">
        <v>2116.0</v>
      </c>
      <c r="U104" s="3">
        <v>14.0</v>
      </c>
      <c r="V104" s="3">
        <v>29.0</v>
      </c>
      <c r="W104" s="3">
        <v>12.0</v>
      </c>
      <c r="X104" s="3">
        <v>25.0</v>
      </c>
      <c r="Y104" s="3">
        <v>2.0</v>
      </c>
      <c r="Z104" s="3">
        <v>4.0</v>
      </c>
      <c r="AA104" s="3" t="s">
        <v>46</v>
      </c>
      <c r="AB104" s="3">
        <v>24.0</v>
      </c>
      <c r="AC104" s="3">
        <v>36.0</v>
      </c>
      <c r="AD104" s="3">
        <v>19.0</v>
      </c>
      <c r="AE104" s="3">
        <v>28.0</v>
      </c>
      <c r="AF104" s="3">
        <v>5.0</v>
      </c>
      <c r="AG104" s="3">
        <v>8.0</v>
      </c>
      <c r="AH104" s="3">
        <v>21292.0</v>
      </c>
      <c r="AI104" s="3">
        <v>23150.0</v>
      </c>
      <c r="AJ104" s="3" t="str">
        <f t="array" ref="AJ104">IF(AA104="", "", XLOOKUP(AA104, 'Appendix B - Reason codes'!$A$4:$A$14, 'Appendix B - Reason codes'!$B$4:$B$14))</f>
        <v>Father didn’t allow</v>
      </c>
    </row>
    <row r="105" ht="15.75" customHeight="1">
      <c r="A105" s="3" t="s">
        <v>151</v>
      </c>
      <c r="B105" s="3">
        <v>104.0</v>
      </c>
      <c r="C105" s="3" t="s">
        <v>37</v>
      </c>
      <c r="D105" s="3" t="s">
        <v>54</v>
      </c>
      <c r="E105" s="3" t="s">
        <v>58</v>
      </c>
      <c r="F105" s="3" t="s">
        <v>152</v>
      </c>
      <c r="G105" s="3">
        <v>11.0</v>
      </c>
      <c r="H105" s="3">
        <v>4217.0</v>
      </c>
      <c r="I105" s="3">
        <v>6.0</v>
      </c>
      <c r="J105" s="3">
        <v>4042.0</v>
      </c>
      <c r="K105" s="3">
        <v>4263.0</v>
      </c>
      <c r="L105" s="3">
        <v>103.0</v>
      </c>
      <c r="M105" s="3">
        <v>159.0</v>
      </c>
      <c r="N105" s="3">
        <v>190.0</v>
      </c>
      <c r="O105" s="3">
        <v>2682.0</v>
      </c>
      <c r="P105" s="3">
        <v>82.0</v>
      </c>
      <c r="Q105" s="3">
        <v>158.0</v>
      </c>
      <c r="R105" s="3">
        <v>156.0</v>
      </c>
      <c r="S105" s="3">
        <v>68.0</v>
      </c>
      <c r="T105" s="3">
        <v>464.0</v>
      </c>
      <c r="U105" s="3">
        <v>2.0</v>
      </c>
      <c r="V105" s="3">
        <v>3.0</v>
      </c>
      <c r="W105" s="3">
        <v>2.0</v>
      </c>
      <c r="X105" s="3">
        <v>3.0</v>
      </c>
      <c r="Y105" s="3">
        <v>0.0</v>
      </c>
      <c r="Z105" s="3">
        <v>0.0</v>
      </c>
      <c r="AA105" s="3" t="s">
        <v>78</v>
      </c>
      <c r="AB105" s="3">
        <v>4.0</v>
      </c>
      <c r="AC105" s="3">
        <v>6.0</v>
      </c>
      <c r="AD105" s="3">
        <v>3.0</v>
      </c>
      <c r="AE105" s="3">
        <v>4.0</v>
      </c>
      <c r="AF105" s="3">
        <v>1.0</v>
      </c>
      <c r="AG105" s="3">
        <v>2.0</v>
      </c>
      <c r="AH105" s="3">
        <v>4024.0</v>
      </c>
      <c r="AI105" s="3">
        <v>4300.0</v>
      </c>
      <c r="AJ105" s="3" t="str">
        <f t="array" ref="AJ105">IF(AA105="", "", XLOOKUP(AA105, 'Appendix B - Reason codes'!$A$4:$A$14, 'Appendix B - Reason codes'!$B$4:$B$14))</f>
        <v>Child sick</v>
      </c>
    </row>
    <row r="106" ht="15.75" customHeight="1">
      <c r="A106" s="3" t="s">
        <v>151</v>
      </c>
      <c r="B106" s="3">
        <v>105.0</v>
      </c>
      <c r="C106" s="3" t="s">
        <v>37</v>
      </c>
      <c r="D106" s="3" t="s">
        <v>54</v>
      </c>
      <c r="E106" s="3" t="s">
        <v>60</v>
      </c>
      <c r="F106" s="3" t="s">
        <v>152</v>
      </c>
      <c r="G106" s="3">
        <v>74.0</v>
      </c>
      <c r="H106" s="3">
        <v>28650.0</v>
      </c>
      <c r="I106" s="3">
        <v>44.0</v>
      </c>
      <c r="J106" s="3">
        <v>21335.0</v>
      </c>
      <c r="K106" s="3">
        <v>31868.0</v>
      </c>
      <c r="L106" s="3">
        <v>1120.0</v>
      </c>
      <c r="M106" s="3">
        <v>1569.0</v>
      </c>
      <c r="N106" s="3">
        <v>718.0</v>
      </c>
      <c r="O106" s="3">
        <v>23865.0</v>
      </c>
      <c r="P106" s="3">
        <v>486.0</v>
      </c>
      <c r="Q106" s="3">
        <v>415.0</v>
      </c>
      <c r="R106" s="3">
        <v>705.0</v>
      </c>
      <c r="S106" s="3">
        <v>14.0</v>
      </c>
      <c r="T106" s="3">
        <v>1620.0</v>
      </c>
      <c r="U106" s="3">
        <v>30.0</v>
      </c>
      <c r="V106" s="3">
        <v>55.0</v>
      </c>
      <c r="W106" s="3">
        <v>27.0</v>
      </c>
      <c r="X106" s="3">
        <v>50.0</v>
      </c>
      <c r="Y106" s="3">
        <v>3.0</v>
      </c>
      <c r="Z106" s="3">
        <v>5.0</v>
      </c>
      <c r="AA106" s="3" t="s">
        <v>41</v>
      </c>
      <c r="AB106" s="3">
        <v>37.0</v>
      </c>
      <c r="AC106" s="3">
        <v>65.0</v>
      </c>
      <c r="AD106" s="3">
        <v>31.0</v>
      </c>
      <c r="AE106" s="3">
        <v>54.0</v>
      </c>
      <c r="AF106" s="3">
        <v>6.0</v>
      </c>
      <c r="AG106" s="3">
        <v>11.0</v>
      </c>
      <c r="AH106" s="3">
        <v>28844.0</v>
      </c>
      <c r="AI106" s="3">
        <v>31050.0</v>
      </c>
      <c r="AJ106" s="3" t="str">
        <f t="array" ref="AJ106">IF(AA106="", "", XLOOKUP(AA106, 'Appendix B - Reason codes'!$A$4:$A$14, 'Appendix B - Reason codes'!$B$4:$B$14))</f>
        <v>Fatigue from many rounds</v>
      </c>
    </row>
    <row r="107" ht="15.75" customHeight="1">
      <c r="A107" s="3" t="s">
        <v>151</v>
      </c>
      <c r="B107" s="3">
        <v>106.0</v>
      </c>
      <c r="C107" s="3" t="s">
        <v>37</v>
      </c>
      <c r="D107" s="3" t="s">
        <v>54</v>
      </c>
      <c r="E107" s="3" t="s">
        <v>62</v>
      </c>
      <c r="F107" s="3" t="s">
        <v>152</v>
      </c>
      <c r="G107" s="3">
        <v>14.0</v>
      </c>
      <c r="H107" s="3">
        <v>937.0</v>
      </c>
      <c r="I107" s="3">
        <v>1.0</v>
      </c>
      <c r="J107" s="3">
        <v>679.0</v>
      </c>
      <c r="K107" s="3">
        <v>1012.0</v>
      </c>
      <c r="L107" s="3">
        <v>15.0</v>
      </c>
      <c r="M107" s="3">
        <v>50.0</v>
      </c>
      <c r="N107" s="3">
        <v>36.0</v>
      </c>
      <c r="O107" s="3">
        <v>575.0</v>
      </c>
      <c r="P107" s="3">
        <v>25.0</v>
      </c>
      <c r="Q107" s="3">
        <v>28.0</v>
      </c>
      <c r="R107" s="3">
        <v>37.0</v>
      </c>
      <c r="S107" s="3">
        <v>12.0</v>
      </c>
      <c r="T107" s="3">
        <v>102.0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/>
      <c r="AB107" s="3">
        <v>1.0</v>
      </c>
      <c r="AC107" s="3">
        <v>1.0</v>
      </c>
      <c r="AD107" s="3">
        <v>1.0</v>
      </c>
      <c r="AE107" s="3">
        <v>1.0</v>
      </c>
      <c r="AF107" s="3">
        <v>0.0</v>
      </c>
      <c r="AG107" s="3">
        <v>0.0</v>
      </c>
      <c r="AH107" s="3">
        <v>972.0</v>
      </c>
      <c r="AI107" s="3">
        <v>1050.0</v>
      </c>
      <c r="AJ107" s="3" t="str">
        <f t="array" ref="AJ107">IF(AA107="", "", XLOOKUP(AA107, 'Appendix B - Reason codes'!$A$4:$A$14, 'Appendix B - Reason codes'!$B$4:$B$14))</f>
        <v/>
      </c>
    </row>
    <row r="108" ht="15.75" customHeight="1">
      <c r="A108" s="3" t="s">
        <v>151</v>
      </c>
      <c r="B108" s="3">
        <v>107.0</v>
      </c>
      <c r="C108" s="3" t="s">
        <v>37</v>
      </c>
      <c r="D108" s="3" t="s">
        <v>54</v>
      </c>
      <c r="E108" s="3" t="s">
        <v>63</v>
      </c>
      <c r="F108" s="3" t="s">
        <v>152</v>
      </c>
      <c r="G108" s="3">
        <v>33.0</v>
      </c>
      <c r="H108" s="3">
        <v>3397.0</v>
      </c>
      <c r="I108" s="3">
        <v>5.0</v>
      </c>
      <c r="J108" s="3">
        <v>3319.0</v>
      </c>
      <c r="K108" s="3">
        <v>3737.0</v>
      </c>
      <c r="L108" s="3">
        <v>112.0</v>
      </c>
      <c r="M108" s="3">
        <v>252.0</v>
      </c>
      <c r="N108" s="3">
        <v>69.0</v>
      </c>
      <c r="O108" s="3">
        <v>2474.0</v>
      </c>
      <c r="P108" s="3">
        <v>104.0</v>
      </c>
      <c r="Q108" s="3">
        <v>112.0</v>
      </c>
      <c r="R108" s="3">
        <v>84.0</v>
      </c>
      <c r="S108" s="3">
        <v>74.0</v>
      </c>
      <c r="T108" s="3">
        <v>374.0</v>
      </c>
      <c r="U108" s="3">
        <v>6.0</v>
      </c>
      <c r="V108" s="3">
        <v>13.0</v>
      </c>
      <c r="W108" s="3">
        <v>5.0</v>
      </c>
      <c r="X108" s="3">
        <v>11.0</v>
      </c>
      <c r="Y108" s="3">
        <v>1.0</v>
      </c>
      <c r="Z108" s="3">
        <v>2.0</v>
      </c>
      <c r="AA108" s="3" t="s">
        <v>46</v>
      </c>
      <c r="AB108" s="3">
        <v>2.0</v>
      </c>
      <c r="AC108" s="3">
        <v>3.0</v>
      </c>
      <c r="AD108" s="3">
        <v>2.0</v>
      </c>
      <c r="AE108" s="3">
        <v>3.0</v>
      </c>
      <c r="AF108" s="3">
        <v>0.0</v>
      </c>
      <c r="AG108" s="3">
        <v>0.0</v>
      </c>
      <c r="AH108" s="3">
        <v>3204.0</v>
      </c>
      <c r="AI108" s="3">
        <v>3400.0</v>
      </c>
      <c r="AJ108" s="3" t="str">
        <f t="array" ref="AJ108">IF(AA108="", "", XLOOKUP(AA108, 'Appendix B - Reason codes'!$A$4:$A$14, 'Appendix B - Reason codes'!$B$4:$B$14))</f>
        <v>Father didn’t allow</v>
      </c>
    </row>
    <row r="109" ht="15.75" customHeight="1">
      <c r="A109" s="3" t="s">
        <v>151</v>
      </c>
      <c r="B109" s="3">
        <v>108.0</v>
      </c>
      <c r="C109" s="3" t="s">
        <v>37</v>
      </c>
      <c r="D109" s="3" t="s">
        <v>64</v>
      </c>
      <c r="E109" s="3" t="s">
        <v>65</v>
      </c>
      <c r="F109" s="3" t="s">
        <v>152</v>
      </c>
      <c r="G109" s="3">
        <v>66.0</v>
      </c>
      <c r="H109" s="3">
        <v>18340.0</v>
      </c>
      <c r="I109" s="3">
        <v>28.0</v>
      </c>
      <c r="J109" s="3">
        <v>16414.0</v>
      </c>
      <c r="K109" s="3">
        <v>20457.0</v>
      </c>
      <c r="L109" s="3">
        <v>648.0</v>
      </c>
      <c r="M109" s="3">
        <v>1229.0</v>
      </c>
      <c r="N109" s="3">
        <v>142.0</v>
      </c>
      <c r="O109" s="3">
        <v>10644.0</v>
      </c>
      <c r="P109" s="3">
        <v>165.0</v>
      </c>
      <c r="Q109" s="3">
        <v>54.0</v>
      </c>
      <c r="R109" s="3">
        <v>805.0</v>
      </c>
      <c r="S109" s="3">
        <v>244.0</v>
      </c>
      <c r="T109" s="3">
        <v>1268.0</v>
      </c>
      <c r="U109" s="3">
        <v>11.0</v>
      </c>
      <c r="V109" s="3">
        <v>24.0</v>
      </c>
      <c r="W109" s="3">
        <v>10.0</v>
      </c>
      <c r="X109" s="3">
        <v>23.0</v>
      </c>
      <c r="Y109" s="3">
        <v>1.0</v>
      </c>
      <c r="Z109" s="3">
        <v>1.0</v>
      </c>
      <c r="AA109" s="3" t="s">
        <v>43</v>
      </c>
      <c r="AB109" s="3">
        <v>26.0</v>
      </c>
      <c r="AC109" s="3">
        <v>38.0</v>
      </c>
      <c r="AD109" s="3">
        <v>19.0</v>
      </c>
      <c r="AE109" s="3">
        <v>27.0</v>
      </c>
      <c r="AF109" s="3">
        <v>7.0</v>
      </c>
      <c r="AG109" s="3">
        <v>11.0</v>
      </c>
      <c r="AH109" s="3">
        <v>17880.0</v>
      </c>
      <c r="AI109" s="3">
        <v>19000.0</v>
      </c>
      <c r="AJ109" s="3" t="str">
        <f t="array" ref="AJ109">IF(AA109="", "", XLOOKUP(AA109, 'Appendix B - Reason codes'!$A$4:$A$14, 'Appendix B - Reason codes'!$B$4:$B$14))</f>
        <v>Unhappy (with the team / programme)</v>
      </c>
    </row>
    <row r="110" ht="15.75" customHeight="1">
      <c r="A110" s="3" t="s">
        <v>151</v>
      </c>
      <c r="B110" s="3">
        <v>109.0</v>
      </c>
      <c r="C110" s="3" t="s">
        <v>37</v>
      </c>
      <c r="D110" s="3" t="s">
        <v>64</v>
      </c>
      <c r="E110" s="3" t="s">
        <v>66</v>
      </c>
      <c r="F110" s="3" t="s">
        <v>152</v>
      </c>
      <c r="G110" s="3">
        <v>9.0</v>
      </c>
      <c r="H110" s="3">
        <v>611.0</v>
      </c>
      <c r="I110" s="3">
        <v>1.0</v>
      </c>
      <c r="J110" s="3">
        <v>573.0</v>
      </c>
      <c r="K110" s="3">
        <v>637.0</v>
      </c>
      <c r="L110" s="3">
        <v>14.0</v>
      </c>
      <c r="M110" s="3">
        <v>59.0</v>
      </c>
      <c r="N110" s="3">
        <v>3.0</v>
      </c>
      <c r="O110" s="3">
        <v>462.0</v>
      </c>
      <c r="P110" s="3">
        <v>0.0</v>
      </c>
      <c r="Q110" s="3">
        <v>14.0</v>
      </c>
      <c r="R110" s="3">
        <v>3.0</v>
      </c>
      <c r="S110" s="3">
        <v>14.0</v>
      </c>
      <c r="T110" s="3">
        <v>31.0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/>
      <c r="AB110" s="3">
        <v>1.0</v>
      </c>
      <c r="AC110" s="3">
        <v>2.0</v>
      </c>
      <c r="AD110" s="3">
        <v>1.0</v>
      </c>
      <c r="AE110" s="3">
        <v>2.0</v>
      </c>
      <c r="AF110" s="3">
        <v>0.0</v>
      </c>
      <c r="AG110" s="3">
        <v>0.0</v>
      </c>
      <c r="AH110" s="3">
        <v>595.0</v>
      </c>
      <c r="AI110" s="3">
        <v>650.0</v>
      </c>
      <c r="AJ110" s="3" t="str">
        <f t="array" ref="AJ110">IF(AA110="", "", XLOOKUP(AA110, 'Appendix B - Reason codes'!$A$4:$A$14, 'Appendix B - Reason codes'!$B$4:$B$14))</f>
        <v/>
      </c>
    </row>
    <row r="111" ht="15.75" customHeight="1">
      <c r="A111" s="3" t="s">
        <v>151</v>
      </c>
      <c r="B111" s="3">
        <v>110.0</v>
      </c>
      <c r="C111" s="3" t="s">
        <v>37</v>
      </c>
      <c r="D111" s="3" t="s">
        <v>64</v>
      </c>
      <c r="E111" s="3" t="s">
        <v>67</v>
      </c>
      <c r="F111" s="3" t="s">
        <v>152</v>
      </c>
      <c r="G111" s="3">
        <v>34.0</v>
      </c>
      <c r="H111" s="3">
        <v>2941.0</v>
      </c>
      <c r="I111" s="3">
        <v>4.0</v>
      </c>
      <c r="J111" s="3">
        <v>2480.0</v>
      </c>
      <c r="K111" s="3">
        <v>3252.0</v>
      </c>
      <c r="L111" s="3">
        <v>90.0</v>
      </c>
      <c r="M111" s="3">
        <v>108.0</v>
      </c>
      <c r="N111" s="3">
        <v>49.0</v>
      </c>
      <c r="O111" s="3">
        <v>1872.0</v>
      </c>
      <c r="P111" s="3">
        <v>25.0</v>
      </c>
      <c r="Q111" s="3">
        <v>51.0</v>
      </c>
      <c r="R111" s="3">
        <v>90.0</v>
      </c>
      <c r="S111" s="3">
        <v>3.0</v>
      </c>
      <c r="T111" s="3">
        <v>169.0</v>
      </c>
      <c r="U111" s="3">
        <v>3.0</v>
      </c>
      <c r="V111" s="3">
        <v>5.0</v>
      </c>
      <c r="W111" s="3">
        <v>3.0</v>
      </c>
      <c r="X111" s="3">
        <v>4.0</v>
      </c>
      <c r="Y111" s="3">
        <v>0.0</v>
      </c>
      <c r="Z111" s="3">
        <v>1.0</v>
      </c>
      <c r="AA111" s="3" t="s">
        <v>61</v>
      </c>
      <c r="AB111" s="3">
        <v>4.0</v>
      </c>
      <c r="AC111" s="3">
        <v>5.0</v>
      </c>
      <c r="AD111" s="3">
        <v>3.0</v>
      </c>
      <c r="AE111" s="3">
        <v>4.0</v>
      </c>
      <c r="AF111" s="3">
        <v>1.0</v>
      </c>
      <c r="AG111" s="3">
        <v>1.0</v>
      </c>
      <c r="AH111" s="3">
        <v>2620.0</v>
      </c>
      <c r="AI111" s="3">
        <v>2850.0</v>
      </c>
      <c r="AJ111" s="3" t="str">
        <f t="array" ref="AJ111">IF(AA111="", "", XLOOKUP(AA111, 'Appendix B - Reason codes'!$A$4:$A$14, 'Appendix B - Reason codes'!$B$4:$B$14))</f>
        <v>No reason given</v>
      </c>
    </row>
    <row r="112" ht="15.75" customHeight="1">
      <c r="A112" s="3" t="s">
        <v>151</v>
      </c>
      <c r="B112" s="3">
        <v>111.0</v>
      </c>
      <c r="C112" s="3" t="s">
        <v>37</v>
      </c>
      <c r="D112" s="3" t="s">
        <v>64</v>
      </c>
      <c r="E112" s="3" t="s">
        <v>68</v>
      </c>
      <c r="F112" s="3" t="s">
        <v>152</v>
      </c>
      <c r="G112" s="3">
        <v>48.0</v>
      </c>
      <c r="H112" s="3">
        <v>7834.0</v>
      </c>
      <c r="I112" s="3">
        <v>12.0</v>
      </c>
      <c r="J112" s="3">
        <v>6967.0</v>
      </c>
      <c r="K112" s="3">
        <v>8498.0</v>
      </c>
      <c r="L112" s="3">
        <v>27.0</v>
      </c>
      <c r="M112" s="3">
        <v>80.0</v>
      </c>
      <c r="N112" s="3">
        <v>76.0</v>
      </c>
      <c r="O112" s="3">
        <v>4123.0</v>
      </c>
      <c r="P112" s="3">
        <v>146.0</v>
      </c>
      <c r="Q112" s="3">
        <v>160.0</v>
      </c>
      <c r="R112" s="3">
        <v>329.0</v>
      </c>
      <c r="S112" s="3">
        <v>66.0</v>
      </c>
      <c r="T112" s="3">
        <v>701.0</v>
      </c>
      <c r="U112" s="3">
        <v>6.0</v>
      </c>
      <c r="V112" s="3">
        <v>9.0</v>
      </c>
      <c r="W112" s="3">
        <v>5.0</v>
      </c>
      <c r="X112" s="3">
        <v>7.0</v>
      </c>
      <c r="Y112" s="3">
        <v>1.0</v>
      </c>
      <c r="Z112" s="3">
        <v>2.0</v>
      </c>
      <c r="AA112" s="3" t="s">
        <v>46</v>
      </c>
      <c r="AB112" s="3">
        <v>14.0</v>
      </c>
      <c r="AC112" s="3">
        <v>22.0</v>
      </c>
      <c r="AD112" s="3">
        <v>13.0</v>
      </c>
      <c r="AE112" s="3">
        <v>20.0</v>
      </c>
      <c r="AF112" s="3">
        <v>1.0</v>
      </c>
      <c r="AG112" s="3">
        <v>2.0</v>
      </c>
      <c r="AH112" s="3">
        <v>7018.0</v>
      </c>
      <c r="AI112" s="3">
        <v>7400.0</v>
      </c>
      <c r="AJ112" s="3" t="str">
        <f t="array" ref="AJ112">IF(AA112="", "", XLOOKUP(AA112, 'Appendix B - Reason codes'!$A$4:$A$14, 'Appendix B - Reason codes'!$B$4:$B$14))</f>
        <v>Father didn’t allow</v>
      </c>
    </row>
    <row r="113" ht="15.75" customHeight="1">
      <c r="A113" s="3" t="s">
        <v>151</v>
      </c>
      <c r="B113" s="3">
        <v>112.0</v>
      </c>
      <c r="C113" s="3" t="s">
        <v>37</v>
      </c>
      <c r="D113" s="3" t="s">
        <v>64</v>
      </c>
      <c r="E113" s="3" t="s">
        <v>69</v>
      </c>
      <c r="F113" s="3" t="s">
        <v>152</v>
      </c>
      <c r="G113" s="3">
        <v>33.0</v>
      </c>
      <c r="H113" s="3">
        <v>4149.0</v>
      </c>
      <c r="I113" s="3">
        <v>6.0</v>
      </c>
      <c r="J113" s="3">
        <v>3836.0</v>
      </c>
      <c r="K113" s="3">
        <v>4389.0</v>
      </c>
      <c r="L113" s="3">
        <v>32.0</v>
      </c>
      <c r="M113" s="3">
        <v>4.0</v>
      </c>
      <c r="N113" s="3">
        <v>142.0</v>
      </c>
      <c r="O113" s="3">
        <v>2165.0</v>
      </c>
      <c r="P113" s="3">
        <v>81.0</v>
      </c>
      <c r="Q113" s="3">
        <v>0.0</v>
      </c>
      <c r="R113" s="3">
        <v>86.0</v>
      </c>
      <c r="S113" s="3">
        <v>24.0</v>
      </c>
      <c r="T113" s="3">
        <v>191.0</v>
      </c>
      <c r="U113" s="3">
        <v>8.0</v>
      </c>
      <c r="V113" s="3">
        <v>13.0</v>
      </c>
      <c r="W113" s="3">
        <v>7.0</v>
      </c>
      <c r="X113" s="3">
        <v>12.0</v>
      </c>
      <c r="Y113" s="3">
        <v>1.0</v>
      </c>
      <c r="Z113" s="3">
        <v>1.0</v>
      </c>
      <c r="AA113" s="3" t="s">
        <v>82</v>
      </c>
      <c r="AB113" s="3">
        <v>7.0</v>
      </c>
      <c r="AC113" s="3">
        <v>12.0</v>
      </c>
      <c r="AD113" s="3">
        <v>6.0</v>
      </c>
      <c r="AE113" s="3">
        <v>11.0</v>
      </c>
      <c r="AF113" s="3">
        <v>1.0</v>
      </c>
      <c r="AG113" s="3">
        <v>1.0</v>
      </c>
      <c r="AH113" s="3">
        <v>3933.0</v>
      </c>
      <c r="AI113" s="3">
        <v>4350.0</v>
      </c>
      <c r="AJ113" s="3" t="str">
        <f t="array" ref="AJ113">IF(AA113="", "", XLOOKUP(AA113, 'Appendix B - Reason codes'!$A$4:$A$14, 'Appendix B - Reason codes'!$B$4:$B$14))</f>
        <v>Claims to have a cure</v>
      </c>
    </row>
    <row r="114" ht="15.75" customHeight="1">
      <c r="A114" s="3" t="s">
        <v>151</v>
      </c>
      <c r="B114" s="3">
        <v>113.0</v>
      </c>
      <c r="C114" s="3" t="s">
        <v>37</v>
      </c>
      <c r="D114" s="3" t="s">
        <v>64</v>
      </c>
      <c r="E114" s="3" t="s">
        <v>70</v>
      </c>
      <c r="F114" s="3" t="s">
        <v>152</v>
      </c>
      <c r="G114" s="3">
        <v>49.0</v>
      </c>
      <c r="H114" s="3">
        <v>21018.0</v>
      </c>
      <c r="I114" s="3">
        <v>32.0</v>
      </c>
      <c r="J114" s="3">
        <v>19387.0</v>
      </c>
      <c r="K114" s="3">
        <v>22178.0</v>
      </c>
      <c r="L114" s="3">
        <v>83.0</v>
      </c>
      <c r="M114" s="3">
        <v>482.0</v>
      </c>
      <c r="N114" s="3">
        <v>71.0</v>
      </c>
      <c r="O114" s="3">
        <v>13942.0</v>
      </c>
      <c r="P114" s="3">
        <v>138.0</v>
      </c>
      <c r="Q114" s="3">
        <v>56.0</v>
      </c>
      <c r="R114" s="3">
        <v>904.0</v>
      </c>
      <c r="S114" s="3">
        <v>399.0</v>
      </c>
      <c r="T114" s="3">
        <v>1497.0</v>
      </c>
      <c r="U114" s="3">
        <v>6.0</v>
      </c>
      <c r="V114" s="3">
        <v>12.0</v>
      </c>
      <c r="W114" s="3">
        <v>6.0</v>
      </c>
      <c r="X114" s="3">
        <v>11.0</v>
      </c>
      <c r="Y114" s="3">
        <v>0.0</v>
      </c>
      <c r="Z114" s="3">
        <v>1.0</v>
      </c>
      <c r="AA114" s="3" t="s">
        <v>82</v>
      </c>
      <c r="AB114" s="3">
        <v>25.0</v>
      </c>
      <c r="AC114" s="3">
        <v>41.0</v>
      </c>
      <c r="AD114" s="3">
        <v>22.0</v>
      </c>
      <c r="AE114" s="3">
        <v>35.0</v>
      </c>
      <c r="AF114" s="3">
        <v>3.0</v>
      </c>
      <c r="AG114" s="3">
        <v>6.0</v>
      </c>
      <c r="AH114" s="3">
        <v>20421.0</v>
      </c>
      <c r="AI114" s="3">
        <v>21750.0</v>
      </c>
      <c r="AJ114" s="3" t="str">
        <f t="array" ref="AJ114">IF(AA114="", "", XLOOKUP(AA114, 'Appendix B - Reason codes'!$A$4:$A$14, 'Appendix B - Reason codes'!$B$4:$B$14))</f>
        <v>Claims to have a cure</v>
      </c>
    </row>
    <row r="115" ht="15.75" customHeight="1">
      <c r="A115" s="3" t="s">
        <v>151</v>
      </c>
      <c r="B115" s="3">
        <v>114.0</v>
      </c>
      <c r="C115" s="3" t="s">
        <v>37</v>
      </c>
      <c r="D115" s="3" t="s">
        <v>64</v>
      </c>
      <c r="E115" s="3" t="s">
        <v>71</v>
      </c>
      <c r="F115" s="3" t="s">
        <v>152</v>
      </c>
      <c r="G115" s="3">
        <v>35.0</v>
      </c>
      <c r="H115" s="3">
        <v>13407.0</v>
      </c>
      <c r="I115" s="3">
        <v>20.0</v>
      </c>
      <c r="J115" s="3">
        <v>9393.0</v>
      </c>
      <c r="K115" s="3">
        <v>14987.0</v>
      </c>
      <c r="L115" s="3">
        <v>266.0</v>
      </c>
      <c r="M115" s="3">
        <v>1238.0</v>
      </c>
      <c r="N115" s="3">
        <v>471.0</v>
      </c>
      <c r="O115" s="3">
        <v>8711.0</v>
      </c>
      <c r="P115" s="3">
        <v>91.0</v>
      </c>
      <c r="Q115" s="3">
        <v>229.0</v>
      </c>
      <c r="R115" s="3">
        <v>517.0</v>
      </c>
      <c r="S115" s="3">
        <v>321.0</v>
      </c>
      <c r="T115" s="3">
        <v>1158.0</v>
      </c>
      <c r="U115" s="3">
        <v>13.0</v>
      </c>
      <c r="V115" s="3">
        <v>20.0</v>
      </c>
      <c r="W115" s="3">
        <v>12.0</v>
      </c>
      <c r="X115" s="3">
        <v>19.0</v>
      </c>
      <c r="Y115" s="3">
        <v>1.0</v>
      </c>
      <c r="Z115" s="3">
        <v>1.0</v>
      </c>
      <c r="AA115" s="3" t="s">
        <v>46</v>
      </c>
      <c r="AB115" s="3">
        <v>12.0</v>
      </c>
      <c r="AC115" s="3">
        <v>21.0</v>
      </c>
      <c r="AD115" s="3">
        <v>9.0</v>
      </c>
      <c r="AE115" s="3">
        <v>16.0</v>
      </c>
      <c r="AF115" s="3">
        <v>3.0</v>
      </c>
      <c r="AG115" s="3">
        <v>5.0</v>
      </c>
      <c r="AH115" s="3">
        <v>12864.0</v>
      </c>
      <c r="AI115" s="3">
        <v>13850.0</v>
      </c>
      <c r="AJ115" s="3" t="str">
        <f t="array" ref="AJ115">IF(AA115="", "", XLOOKUP(AA115, 'Appendix B - Reason codes'!$A$4:$A$14, 'Appendix B - Reason codes'!$B$4:$B$14))</f>
        <v>Father didn’t allow</v>
      </c>
    </row>
    <row r="116" ht="15.75" customHeight="1">
      <c r="A116" s="3" t="s">
        <v>151</v>
      </c>
      <c r="B116" s="3">
        <v>115.0</v>
      </c>
      <c r="C116" s="3" t="s">
        <v>37</v>
      </c>
      <c r="D116" s="3" t="s">
        <v>64</v>
      </c>
      <c r="E116" s="3" t="s">
        <v>72</v>
      </c>
      <c r="F116" s="3" t="s">
        <v>152</v>
      </c>
      <c r="G116" s="3">
        <v>44.0</v>
      </c>
      <c r="H116" s="3">
        <v>5162.0</v>
      </c>
      <c r="I116" s="3">
        <v>7.0</v>
      </c>
      <c r="J116" s="3">
        <v>4241.0</v>
      </c>
      <c r="K116" s="3">
        <v>5598.0</v>
      </c>
      <c r="L116" s="3">
        <v>15.0</v>
      </c>
      <c r="M116" s="3">
        <v>454.0</v>
      </c>
      <c r="N116" s="3">
        <v>188.0</v>
      </c>
      <c r="O116" s="3">
        <v>4152.0</v>
      </c>
      <c r="P116" s="3">
        <v>10.0</v>
      </c>
      <c r="Q116" s="3">
        <v>128.0</v>
      </c>
      <c r="R116" s="3">
        <v>239.0</v>
      </c>
      <c r="S116" s="3">
        <v>145.0</v>
      </c>
      <c r="T116" s="3">
        <v>522.0</v>
      </c>
      <c r="U116" s="3">
        <v>4.0</v>
      </c>
      <c r="V116" s="3">
        <v>7.0</v>
      </c>
      <c r="W116" s="3">
        <v>4.0</v>
      </c>
      <c r="X116" s="3">
        <v>7.0</v>
      </c>
      <c r="Y116" s="3">
        <v>0.0</v>
      </c>
      <c r="Z116" s="3">
        <v>0.0</v>
      </c>
      <c r="AA116" s="3" t="s">
        <v>46</v>
      </c>
      <c r="AB116" s="3">
        <v>6.0</v>
      </c>
      <c r="AC116" s="3">
        <v>10.0</v>
      </c>
      <c r="AD116" s="3">
        <v>4.0</v>
      </c>
      <c r="AE116" s="3">
        <v>7.0</v>
      </c>
      <c r="AF116" s="3">
        <v>2.0</v>
      </c>
      <c r="AG116" s="3">
        <v>3.0</v>
      </c>
      <c r="AH116" s="3">
        <v>5007.0</v>
      </c>
      <c r="AI116" s="3">
        <v>5250.0</v>
      </c>
      <c r="AJ116" s="3" t="str">
        <f t="array" ref="AJ116">IF(AA116="", "", XLOOKUP(AA116, 'Appendix B - Reason codes'!$A$4:$A$14, 'Appendix B - Reason codes'!$B$4:$B$14))</f>
        <v>Father didn’t allow</v>
      </c>
    </row>
    <row r="117" ht="15.75" customHeight="1">
      <c r="A117" s="3" t="s">
        <v>151</v>
      </c>
      <c r="B117" s="3">
        <v>116.0</v>
      </c>
      <c r="C117" s="3" t="s">
        <v>37</v>
      </c>
      <c r="D117" s="3" t="s">
        <v>64</v>
      </c>
      <c r="E117" s="3" t="s">
        <v>74</v>
      </c>
      <c r="F117" s="3" t="s">
        <v>152</v>
      </c>
      <c r="G117" s="3">
        <v>57.0</v>
      </c>
      <c r="H117" s="3">
        <v>29085.0</v>
      </c>
      <c r="I117" s="3">
        <v>44.0</v>
      </c>
      <c r="J117" s="3">
        <v>28784.0</v>
      </c>
      <c r="K117" s="3">
        <v>32204.0</v>
      </c>
      <c r="L117" s="3">
        <v>917.0</v>
      </c>
      <c r="M117" s="3">
        <v>2076.0</v>
      </c>
      <c r="N117" s="3">
        <v>1317.0</v>
      </c>
      <c r="O117" s="3">
        <v>22354.0</v>
      </c>
      <c r="P117" s="3">
        <v>694.0</v>
      </c>
      <c r="Q117" s="3">
        <v>549.0</v>
      </c>
      <c r="R117" s="3">
        <v>22.0</v>
      </c>
      <c r="S117" s="3">
        <v>232.0</v>
      </c>
      <c r="T117" s="3">
        <v>1497.0</v>
      </c>
      <c r="U117" s="3">
        <v>20.0</v>
      </c>
      <c r="V117" s="3">
        <v>33.0</v>
      </c>
      <c r="W117" s="3">
        <v>17.0</v>
      </c>
      <c r="X117" s="3">
        <v>28.0</v>
      </c>
      <c r="Y117" s="3">
        <v>3.0</v>
      </c>
      <c r="Z117" s="3">
        <v>5.0</v>
      </c>
      <c r="AA117" s="3" t="s">
        <v>51</v>
      </c>
      <c r="AB117" s="3">
        <v>37.0</v>
      </c>
      <c r="AC117" s="3">
        <v>50.0</v>
      </c>
      <c r="AD117" s="3">
        <v>32.0</v>
      </c>
      <c r="AE117" s="3">
        <v>43.0</v>
      </c>
      <c r="AF117" s="3">
        <v>5.0</v>
      </c>
      <c r="AG117" s="3">
        <v>7.0</v>
      </c>
      <c r="AH117" s="3">
        <v>27901.0</v>
      </c>
      <c r="AI117" s="3">
        <v>30150.0</v>
      </c>
      <c r="AJ117" s="3" t="str">
        <f t="array" ref="AJ117">IF(AA117="", "", XLOOKUP(AA117, 'Appendix B - Reason codes'!$A$4:$A$14, 'Appendix B - Reason codes'!$B$4:$B$14))</f>
        <v>Religious belief</v>
      </c>
    </row>
    <row r="118" ht="15.75" customHeight="1">
      <c r="A118" s="3" t="s">
        <v>151</v>
      </c>
      <c r="B118" s="3">
        <v>117.0</v>
      </c>
      <c r="C118" s="3" t="s">
        <v>37</v>
      </c>
      <c r="D118" s="3" t="s">
        <v>75</v>
      </c>
      <c r="E118" s="3" t="s">
        <v>76</v>
      </c>
      <c r="F118" s="3" t="s">
        <v>152</v>
      </c>
      <c r="G118" s="3">
        <v>37.0</v>
      </c>
      <c r="H118" s="3">
        <v>2158.0</v>
      </c>
      <c r="I118" s="3">
        <v>3.0</v>
      </c>
      <c r="J118" s="3">
        <v>1607.0</v>
      </c>
      <c r="K118" s="3">
        <v>2252.0</v>
      </c>
      <c r="L118" s="3">
        <v>13.0</v>
      </c>
      <c r="M118" s="3">
        <v>45.0</v>
      </c>
      <c r="N118" s="3">
        <v>27.0</v>
      </c>
      <c r="O118" s="3">
        <v>1352.0</v>
      </c>
      <c r="P118" s="3">
        <v>43.0</v>
      </c>
      <c r="Q118" s="3">
        <v>41.0</v>
      </c>
      <c r="R118" s="3">
        <v>36.0</v>
      </c>
      <c r="S118" s="3">
        <v>37.0</v>
      </c>
      <c r="T118" s="3">
        <v>157.0</v>
      </c>
      <c r="U118" s="3">
        <v>2.0</v>
      </c>
      <c r="V118" s="3">
        <v>3.0</v>
      </c>
      <c r="W118" s="3">
        <v>2.0</v>
      </c>
      <c r="X118" s="3">
        <v>3.0</v>
      </c>
      <c r="Y118" s="3">
        <v>0.0</v>
      </c>
      <c r="Z118" s="3">
        <v>0.0</v>
      </c>
      <c r="AA118" s="3" t="s">
        <v>43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1993.0</v>
      </c>
      <c r="AI118" s="3">
        <v>2250.0</v>
      </c>
      <c r="AJ118" s="3" t="str">
        <f t="array" ref="AJ118">IF(AA118="", "", XLOOKUP(AA118, 'Appendix B - Reason codes'!$A$4:$A$14, 'Appendix B - Reason codes'!$B$4:$B$14))</f>
        <v>Unhappy (with the team / programme)</v>
      </c>
    </row>
    <row r="119" ht="15.75" customHeight="1">
      <c r="A119" s="3" t="s">
        <v>151</v>
      </c>
      <c r="B119" s="3">
        <v>118.0</v>
      </c>
      <c r="C119" s="3" t="s">
        <v>37</v>
      </c>
      <c r="D119" s="3" t="s">
        <v>75</v>
      </c>
      <c r="E119" s="3" t="s">
        <v>77</v>
      </c>
      <c r="F119" s="3" t="s">
        <v>152</v>
      </c>
      <c r="G119" s="3">
        <v>31.0</v>
      </c>
      <c r="H119" s="3">
        <v>929.0</v>
      </c>
      <c r="I119" s="3">
        <v>1.0</v>
      </c>
      <c r="J119" s="3">
        <v>766.0</v>
      </c>
      <c r="K119" s="3">
        <v>954.0</v>
      </c>
      <c r="L119" s="3">
        <v>6.0</v>
      </c>
      <c r="M119" s="3">
        <v>25.0</v>
      </c>
      <c r="N119" s="3">
        <v>28.0</v>
      </c>
      <c r="O119" s="3">
        <v>470.0</v>
      </c>
      <c r="P119" s="3">
        <v>29.0</v>
      </c>
      <c r="Q119" s="3">
        <v>2.0</v>
      </c>
      <c r="R119" s="3">
        <v>15.0</v>
      </c>
      <c r="S119" s="3">
        <v>12.0</v>
      </c>
      <c r="T119" s="3">
        <v>58.0</v>
      </c>
      <c r="U119" s="3">
        <v>1.0</v>
      </c>
      <c r="V119" s="3">
        <v>2.0</v>
      </c>
      <c r="W119" s="3">
        <v>1.0</v>
      </c>
      <c r="X119" s="3">
        <v>2.0</v>
      </c>
      <c r="Y119" s="3">
        <v>0.0</v>
      </c>
      <c r="Z119" s="3">
        <v>0.0</v>
      </c>
      <c r="AA119" s="3" t="s">
        <v>43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826.0</v>
      </c>
      <c r="AI119" s="3">
        <v>950.0</v>
      </c>
      <c r="AJ119" s="3" t="str">
        <f t="array" ref="AJ119">IF(AA119="", "", XLOOKUP(AA119, 'Appendix B - Reason codes'!$A$4:$A$14, 'Appendix B - Reason codes'!$B$4:$B$14))</f>
        <v>Unhappy (with the team / programme)</v>
      </c>
    </row>
    <row r="120" ht="15.75" customHeight="1">
      <c r="A120" s="3" t="s">
        <v>151</v>
      </c>
      <c r="B120" s="3">
        <v>119.0</v>
      </c>
      <c r="C120" s="3" t="s">
        <v>37</v>
      </c>
      <c r="D120" s="3" t="s">
        <v>75</v>
      </c>
      <c r="E120" s="3" t="s">
        <v>79</v>
      </c>
      <c r="F120" s="3" t="s">
        <v>152</v>
      </c>
      <c r="G120" s="3">
        <v>2.0</v>
      </c>
      <c r="H120" s="3">
        <v>1062.0</v>
      </c>
      <c r="I120" s="3">
        <v>1.0</v>
      </c>
      <c r="J120" s="3">
        <v>996.0</v>
      </c>
      <c r="K120" s="3">
        <v>1175.0</v>
      </c>
      <c r="L120" s="3">
        <v>11.0</v>
      </c>
      <c r="M120" s="3">
        <v>20.0</v>
      </c>
      <c r="N120" s="3">
        <v>47.0</v>
      </c>
      <c r="O120" s="3">
        <v>792.0</v>
      </c>
      <c r="P120" s="3">
        <v>4.0</v>
      </c>
      <c r="Q120" s="3">
        <v>33.0</v>
      </c>
      <c r="R120" s="3">
        <v>26.0</v>
      </c>
      <c r="S120" s="3">
        <v>25.0</v>
      </c>
      <c r="T120" s="3">
        <v>88.0</v>
      </c>
      <c r="U120" s="3">
        <v>1.0</v>
      </c>
      <c r="V120" s="3">
        <v>2.0</v>
      </c>
      <c r="W120" s="3">
        <v>1.0</v>
      </c>
      <c r="X120" s="3">
        <v>2.0</v>
      </c>
      <c r="Y120" s="3">
        <v>0.0</v>
      </c>
      <c r="Z120" s="3">
        <v>0.0</v>
      </c>
      <c r="AA120" s="3" t="s">
        <v>61</v>
      </c>
      <c r="AB120" s="3">
        <v>2.0</v>
      </c>
      <c r="AC120" s="3">
        <v>3.0</v>
      </c>
      <c r="AD120" s="3">
        <v>1.0</v>
      </c>
      <c r="AE120" s="3">
        <v>2.0</v>
      </c>
      <c r="AF120" s="3">
        <v>1.0</v>
      </c>
      <c r="AG120" s="3">
        <v>1.0</v>
      </c>
      <c r="AH120" s="3">
        <v>970.0</v>
      </c>
      <c r="AI120" s="3">
        <v>1100.0</v>
      </c>
      <c r="AJ120" s="3" t="str">
        <f t="array" ref="AJ120">IF(AA120="", "", XLOOKUP(AA120, 'Appendix B - Reason codes'!$A$4:$A$14, 'Appendix B - Reason codes'!$B$4:$B$14))</f>
        <v>No reason given</v>
      </c>
    </row>
    <row r="121" ht="15.75" customHeight="1">
      <c r="A121" s="3" t="s">
        <v>151</v>
      </c>
      <c r="B121" s="3">
        <v>120.0</v>
      </c>
      <c r="C121" s="3" t="s">
        <v>37</v>
      </c>
      <c r="D121" s="3" t="s">
        <v>75</v>
      </c>
      <c r="E121" s="3" t="s">
        <v>80</v>
      </c>
      <c r="F121" s="3" t="s">
        <v>152</v>
      </c>
      <c r="G121" s="3">
        <v>9.0</v>
      </c>
      <c r="H121" s="3">
        <v>4098.0</v>
      </c>
      <c r="I121" s="3">
        <v>6.0</v>
      </c>
      <c r="J121" s="3">
        <v>3923.0</v>
      </c>
      <c r="K121" s="3">
        <v>4401.0</v>
      </c>
      <c r="L121" s="3">
        <v>20.0</v>
      </c>
      <c r="M121" s="3">
        <v>39.0</v>
      </c>
      <c r="N121" s="3">
        <v>188.0</v>
      </c>
      <c r="O121" s="3">
        <v>2554.0</v>
      </c>
      <c r="P121" s="3">
        <v>38.0</v>
      </c>
      <c r="Q121" s="3">
        <v>152.0</v>
      </c>
      <c r="R121" s="3">
        <v>24.0</v>
      </c>
      <c r="S121" s="3">
        <v>45.0</v>
      </c>
      <c r="T121" s="3">
        <v>259.0</v>
      </c>
      <c r="U121" s="3">
        <v>3.0</v>
      </c>
      <c r="V121" s="3">
        <v>5.0</v>
      </c>
      <c r="W121" s="3">
        <v>3.0</v>
      </c>
      <c r="X121" s="3">
        <v>4.0</v>
      </c>
      <c r="Y121" s="3">
        <v>0.0</v>
      </c>
      <c r="Z121" s="3">
        <v>1.0</v>
      </c>
      <c r="AA121" s="3" t="s">
        <v>51</v>
      </c>
      <c r="AB121" s="3">
        <v>6.0</v>
      </c>
      <c r="AC121" s="3">
        <v>9.0</v>
      </c>
      <c r="AD121" s="3">
        <v>4.0</v>
      </c>
      <c r="AE121" s="3">
        <v>6.0</v>
      </c>
      <c r="AF121" s="3">
        <v>2.0</v>
      </c>
      <c r="AG121" s="3">
        <v>3.0</v>
      </c>
      <c r="AH121" s="3">
        <v>3963.0</v>
      </c>
      <c r="AI121" s="3">
        <v>4450.0</v>
      </c>
      <c r="AJ121" s="3" t="str">
        <f t="array" ref="AJ121">IF(AA121="", "", XLOOKUP(AA121, 'Appendix B - Reason codes'!$A$4:$A$14, 'Appendix B - Reason codes'!$B$4:$B$14))</f>
        <v>Religious belief</v>
      </c>
    </row>
    <row r="122" ht="15.75" customHeight="1">
      <c r="A122" s="3" t="s">
        <v>151</v>
      </c>
      <c r="B122" s="3">
        <v>121.0</v>
      </c>
      <c r="C122" s="3" t="s">
        <v>37</v>
      </c>
      <c r="D122" s="3" t="s">
        <v>75</v>
      </c>
      <c r="E122" s="3" t="s">
        <v>81</v>
      </c>
      <c r="F122" s="3" t="s">
        <v>152</v>
      </c>
      <c r="G122" s="3">
        <v>24.0</v>
      </c>
      <c r="H122" s="3">
        <v>3824.0</v>
      </c>
      <c r="I122" s="3">
        <v>5.0</v>
      </c>
      <c r="J122" s="3">
        <v>2945.0</v>
      </c>
      <c r="K122" s="3">
        <v>4102.0</v>
      </c>
      <c r="L122" s="3">
        <v>69.0</v>
      </c>
      <c r="M122" s="3">
        <v>271.0</v>
      </c>
      <c r="N122" s="3">
        <v>5.0</v>
      </c>
      <c r="O122" s="3">
        <v>3274.0</v>
      </c>
      <c r="P122" s="3">
        <v>133.0</v>
      </c>
      <c r="Q122" s="3">
        <v>4.0</v>
      </c>
      <c r="R122" s="3">
        <v>11.0</v>
      </c>
      <c r="S122" s="3">
        <v>67.0</v>
      </c>
      <c r="T122" s="3">
        <v>215.0</v>
      </c>
      <c r="U122" s="3">
        <v>4.0</v>
      </c>
      <c r="V122" s="3">
        <v>6.0</v>
      </c>
      <c r="W122" s="3">
        <v>3.0</v>
      </c>
      <c r="X122" s="3">
        <v>5.0</v>
      </c>
      <c r="Y122" s="3">
        <v>1.0</v>
      </c>
      <c r="Z122" s="3">
        <v>1.0</v>
      </c>
      <c r="AA122" s="3" t="s">
        <v>51</v>
      </c>
      <c r="AB122" s="3">
        <v>4.0</v>
      </c>
      <c r="AC122" s="3">
        <v>5.0</v>
      </c>
      <c r="AD122" s="3">
        <v>3.0</v>
      </c>
      <c r="AE122" s="3">
        <v>4.0</v>
      </c>
      <c r="AF122" s="3">
        <v>1.0</v>
      </c>
      <c r="AG122" s="3">
        <v>1.0</v>
      </c>
      <c r="AH122" s="3">
        <v>3881.0</v>
      </c>
      <c r="AI122" s="3">
        <v>4300.0</v>
      </c>
      <c r="AJ122" s="3" t="str">
        <f t="array" ref="AJ122">IF(AA122="", "", XLOOKUP(AA122, 'Appendix B - Reason codes'!$A$4:$A$14, 'Appendix B - Reason codes'!$B$4:$B$14))</f>
        <v>Religious belief</v>
      </c>
    </row>
    <row r="123" ht="15.75" customHeight="1">
      <c r="A123" s="3" t="s">
        <v>151</v>
      </c>
      <c r="B123" s="3">
        <v>122.0</v>
      </c>
      <c r="C123" s="3" t="s">
        <v>37</v>
      </c>
      <c r="D123" s="3" t="s">
        <v>75</v>
      </c>
      <c r="E123" s="3" t="s">
        <v>83</v>
      </c>
      <c r="F123" s="3" t="s">
        <v>152</v>
      </c>
      <c r="G123" s="3">
        <v>43.0</v>
      </c>
      <c r="H123" s="3">
        <v>7017.0</v>
      </c>
      <c r="I123" s="3">
        <v>10.0</v>
      </c>
      <c r="J123" s="3">
        <v>5691.0</v>
      </c>
      <c r="K123" s="3">
        <v>7057.0</v>
      </c>
      <c r="L123" s="3">
        <v>225.0</v>
      </c>
      <c r="M123" s="3">
        <v>564.0</v>
      </c>
      <c r="N123" s="3">
        <v>24.0</v>
      </c>
      <c r="O123" s="3">
        <v>3400.0</v>
      </c>
      <c r="P123" s="3">
        <v>14.0</v>
      </c>
      <c r="Q123" s="3">
        <v>102.0</v>
      </c>
      <c r="R123" s="3">
        <v>74.0</v>
      </c>
      <c r="S123" s="3">
        <v>161.0</v>
      </c>
      <c r="T123" s="3">
        <v>351.0</v>
      </c>
      <c r="U123" s="3">
        <v>3.0</v>
      </c>
      <c r="V123" s="3">
        <v>5.0</v>
      </c>
      <c r="W123" s="3">
        <v>3.0</v>
      </c>
      <c r="X123" s="3">
        <v>4.0</v>
      </c>
      <c r="Y123" s="3">
        <v>0.0</v>
      </c>
      <c r="Z123" s="3">
        <v>1.0</v>
      </c>
      <c r="AA123" s="3" t="s">
        <v>46</v>
      </c>
      <c r="AB123" s="3">
        <v>2.0</v>
      </c>
      <c r="AC123" s="3">
        <v>4.0</v>
      </c>
      <c r="AD123" s="3">
        <v>2.0</v>
      </c>
      <c r="AE123" s="3">
        <v>3.0</v>
      </c>
      <c r="AF123" s="3">
        <v>0.0</v>
      </c>
      <c r="AG123" s="3">
        <v>1.0</v>
      </c>
      <c r="AH123" s="3">
        <v>5977.0</v>
      </c>
      <c r="AI123" s="3">
        <v>6800.0</v>
      </c>
      <c r="AJ123" s="3" t="str">
        <f t="array" ref="AJ123">IF(AA123="", "", XLOOKUP(AA123, 'Appendix B - Reason codes'!$A$4:$A$14, 'Appendix B - Reason codes'!$B$4:$B$14))</f>
        <v>Father didn’t allow</v>
      </c>
    </row>
    <row r="124" ht="15.75" customHeight="1">
      <c r="A124" s="3" t="s">
        <v>151</v>
      </c>
      <c r="B124" s="3">
        <v>123.0</v>
      </c>
      <c r="C124" s="3" t="s">
        <v>37</v>
      </c>
      <c r="D124" s="3" t="s">
        <v>84</v>
      </c>
      <c r="E124" s="3" t="s">
        <v>85</v>
      </c>
      <c r="F124" s="3" t="s">
        <v>152</v>
      </c>
      <c r="G124" s="3">
        <v>32.0</v>
      </c>
      <c r="H124" s="3">
        <v>6176.0</v>
      </c>
      <c r="I124" s="3">
        <v>9.0</v>
      </c>
      <c r="J124" s="3">
        <v>5942.0</v>
      </c>
      <c r="K124" s="3">
        <v>6236.0</v>
      </c>
      <c r="L124" s="3">
        <v>74.0</v>
      </c>
      <c r="M124" s="3">
        <v>120.0</v>
      </c>
      <c r="N124" s="3">
        <v>88.0</v>
      </c>
      <c r="O124" s="3">
        <v>3820.0</v>
      </c>
      <c r="P124" s="3">
        <v>74.0</v>
      </c>
      <c r="Q124" s="3">
        <v>76.0</v>
      </c>
      <c r="R124" s="3">
        <v>274.0</v>
      </c>
      <c r="S124" s="3">
        <v>103.0</v>
      </c>
      <c r="T124" s="3">
        <v>527.0</v>
      </c>
      <c r="U124" s="3">
        <v>5.0</v>
      </c>
      <c r="V124" s="3">
        <v>9.0</v>
      </c>
      <c r="W124" s="3">
        <v>4.0</v>
      </c>
      <c r="X124" s="3">
        <v>7.0</v>
      </c>
      <c r="Y124" s="3">
        <v>1.0</v>
      </c>
      <c r="Z124" s="3">
        <v>2.0</v>
      </c>
      <c r="AA124" s="3" t="s">
        <v>46</v>
      </c>
      <c r="AB124" s="3">
        <v>7.0</v>
      </c>
      <c r="AC124" s="3">
        <v>13.0</v>
      </c>
      <c r="AD124" s="3">
        <v>6.0</v>
      </c>
      <c r="AE124" s="3">
        <v>12.0</v>
      </c>
      <c r="AF124" s="3">
        <v>1.0</v>
      </c>
      <c r="AG124" s="3">
        <v>1.0</v>
      </c>
      <c r="AH124" s="3">
        <v>6158.0</v>
      </c>
      <c r="AI124" s="3">
        <v>6600.0</v>
      </c>
      <c r="AJ124" s="3" t="str">
        <f t="array" ref="AJ124">IF(AA124="", "", XLOOKUP(AA124, 'Appendix B - Reason codes'!$A$4:$A$14, 'Appendix B - Reason codes'!$B$4:$B$14))</f>
        <v>Father didn’t allow</v>
      </c>
    </row>
    <row r="125" ht="15.75" customHeight="1">
      <c r="A125" s="3" t="s">
        <v>151</v>
      </c>
      <c r="B125" s="3">
        <v>124.0</v>
      </c>
      <c r="C125" s="3" t="s">
        <v>37</v>
      </c>
      <c r="D125" s="3" t="s">
        <v>84</v>
      </c>
      <c r="E125" s="3" t="s">
        <v>86</v>
      </c>
      <c r="F125" s="3" t="s">
        <v>152</v>
      </c>
      <c r="G125" s="3">
        <v>34.0</v>
      </c>
      <c r="H125" s="3">
        <v>5334.0</v>
      </c>
      <c r="I125" s="3">
        <v>8.0</v>
      </c>
      <c r="J125" s="3">
        <v>5169.0</v>
      </c>
      <c r="K125" s="3">
        <v>5380.0</v>
      </c>
      <c r="L125" s="3">
        <v>44.0</v>
      </c>
      <c r="M125" s="3">
        <v>333.0</v>
      </c>
      <c r="N125" s="3">
        <v>148.0</v>
      </c>
      <c r="O125" s="3">
        <v>3670.0</v>
      </c>
      <c r="P125" s="3">
        <v>77.0</v>
      </c>
      <c r="Q125" s="3">
        <v>179.0</v>
      </c>
      <c r="R125" s="3">
        <v>11.0</v>
      </c>
      <c r="S125" s="3">
        <v>118.0</v>
      </c>
      <c r="T125" s="3">
        <v>385.0</v>
      </c>
      <c r="U125" s="3">
        <v>1.0</v>
      </c>
      <c r="V125" s="3">
        <v>1.0</v>
      </c>
      <c r="W125" s="3">
        <v>1.0</v>
      </c>
      <c r="X125" s="3">
        <v>1.0</v>
      </c>
      <c r="Y125" s="3">
        <v>0.0</v>
      </c>
      <c r="Z125" s="3">
        <v>0.0</v>
      </c>
      <c r="AA125" s="3" t="s">
        <v>51</v>
      </c>
      <c r="AB125" s="3">
        <v>8.0</v>
      </c>
      <c r="AC125" s="3">
        <v>13.0</v>
      </c>
      <c r="AD125" s="3">
        <v>6.0</v>
      </c>
      <c r="AE125" s="3">
        <v>10.0</v>
      </c>
      <c r="AF125" s="3">
        <v>2.0</v>
      </c>
      <c r="AG125" s="3">
        <v>3.0</v>
      </c>
      <c r="AH125" s="3">
        <v>4947.0</v>
      </c>
      <c r="AI125" s="3">
        <v>5350.0</v>
      </c>
      <c r="AJ125" s="3" t="str">
        <f t="array" ref="AJ125">IF(AA125="", "", XLOOKUP(AA125, 'Appendix B - Reason codes'!$A$4:$A$14, 'Appendix B - Reason codes'!$B$4:$B$14))</f>
        <v>Religious belief</v>
      </c>
    </row>
    <row r="126" ht="15.75" customHeight="1">
      <c r="A126" s="3" t="s">
        <v>151</v>
      </c>
      <c r="B126" s="3">
        <v>125.0</v>
      </c>
      <c r="C126" s="3" t="s">
        <v>37</v>
      </c>
      <c r="D126" s="3" t="s">
        <v>84</v>
      </c>
      <c r="E126" s="3" t="s">
        <v>87</v>
      </c>
      <c r="F126" s="3" t="s">
        <v>152</v>
      </c>
      <c r="G126" s="3">
        <v>33.0</v>
      </c>
      <c r="H126" s="3">
        <v>6192.0</v>
      </c>
      <c r="I126" s="3">
        <v>9.0</v>
      </c>
      <c r="J126" s="3">
        <v>5988.0</v>
      </c>
      <c r="K126" s="3">
        <v>6465.0</v>
      </c>
      <c r="L126" s="3">
        <v>207.0</v>
      </c>
      <c r="M126" s="3">
        <v>541.0</v>
      </c>
      <c r="N126" s="3">
        <v>14.0</v>
      </c>
      <c r="O126" s="3">
        <v>4558.0</v>
      </c>
      <c r="P126" s="3">
        <v>200.0</v>
      </c>
      <c r="Q126" s="3">
        <v>74.0</v>
      </c>
      <c r="R126" s="3">
        <v>159.0</v>
      </c>
      <c r="S126" s="3">
        <v>36.0</v>
      </c>
      <c r="T126" s="3">
        <v>469.0</v>
      </c>
      <c r="U126" s="3">
        <v>2.0</v>
      </c>
      <c r="V126" s="3">
        <v>4.0</v>
      </c>
      <c r="W126" s="3">
        <v>2.0</v>
      </c>
      <c r="X126" s="3">
        <v>4.0</v>
      </c>
      <c r="Y126" s="3">
        <v>0.0</v>
      </c>
      <c r="Z126" s="3">
        <v>0.0</v>
      </c>
      <c r="AA126" s="3" t="s">
        <v>46</v>
      </c>
      <c r="AB126" s="3">
        <v>5.0</v>
      </c>
      <c r="AC126" s="3">
        <v>9.0</v>
      </c>
      <c r="AD126" s="3">
        <v>4.0</v>
      </c>
      <c r="AE126" s="3">
        <v>7.0</v>
      </c>
      <c r="AF126" s="3">
        <v>1.0</v>
      </c>
      <c r="AG126" s="3">
        <v>2.0</v>
      </c>
      <c r="AH126" s="3">
        <v>5809.0</v>
      </c>
      <c r="AI126" s="3">
        <v>6350.0</v>
      </c>
      <c r="AJ126" s="3" t="str">
        <f t="array" ref="AJ126">IF(AA126="", "", XLOOKUP(AA126, 'Appendix B - Reason codes'!$A$4:$A$14, 'Appendix B - Reason codes'!$B$4:$B$14))</f>
        <v>Father didn’t allow</v>
      </c>
    </row>
    <row r="127" ht="15.75" customHeight="1">
      <c r="A127" s="3" t="s">
        <v>151</v>
      </c>
      <c r="B127" s="3">
        <v>126.0</v>
      </c>
      <c r="C127" s="3" t="s">
        <v>37</v>
      </c>
      <c r="D127" s="3" t="s">
        <v>84</v>
      </c>
      <c r="E127" s="3" t="s">
        <v>88</v>
      </c>
      <c r="F127" s="3" t="s">
        <v>152</v>
      </c>
      <c r="G127" s="3">
        <v>14.0</v>
      </c>
      <c r="H127" s="3">
        <v>8856.0</v>
      </c>
      <c r="I127" s="3">
        <v>13.0</v>
      </c>
      <c r="J127" s="3">
        <v>7383.0</v>
      </c>
      <c r="K127" s="3">
        <v>9447.0</v>
      </c>
      <c r="L127" s="3">
        <v>188.0</v>
      </c>
      <c r="M127" s="3">
        <v>422.0</v>
      </c>
      <c r="N127" s="3">
        <v>368.0</v>
      </c>
      <c r="O127" s="3">
        <v>6235.0</v>
      </c>
      <c r="P127" s="3">
        <v>18.0</v>
      </c>
      <c r="Q127" s="3">
        <v>170.0</v>
      </c>
      <c r="R127" s="3">
        <v>89.0</v>
      </c>
      <c r="S127" s="3">
        <v>90.0</v>
      </c>
      <c r="T127" s="3">
        <v>367.0</v>
      </c>
      <c r="U127" s="3">
        <v>6.0</v>
      </c>
      <c r="V127" s="3">
        <v>13.0</v>
      </c>
      <c r="W127" s="3">
        <v>5.0</v>
      </c>
      <c r="X127" s="3">
        <v>11.0</v>
      </c>
      <c r="Y127" s="3">
        <v>1.0</v>
      </c>
      <c r="Z127" s="3">
        <v>2.0</v>
      </c>
      <c r="AA127" s="3" t="s">
        <v>46</v>
      </c>
      <c r="AB127" s="3">
        <v>7.0</v>
      </c>
      <c r="AC127" s="3">
        <v>10.0</v>
      </c>
      <c r="AD127" s="3">
        <v>5.0</v>
      </c>
      <c r="AE127" s="3">
        <v>7.0</v>
      </c>
      <c r="AF127" s="3">
        <v>2.0</v>
      </c>
      <c r="AG127" s="3">
        <v>3.0</v>
      </c>
      <c r="AH127" s="3">
        <v>8289.0</v>
      </c>
      <c r="AI127" s="3">
        <v>8900.0</v>
      </c>
      <c r="AJ127" s="3" t="str">
        <f t="array" ref="AJ127">IF(AA127="", "", XLOOKUP(AA127, 'Appendix B - Reason codes'!$A$4:$A$14, 'Appendix B - Reason codes'!$B$4:$B$14))</f>
        <v>Father didn’t allow</v>
      </c>
    </row>
    <row r="128" ht="15.75" customHeight="1">
      <c r="A128" s="3" t="s">
        <v>151</v>
      </c>
      <c r="B128" s="3">
        <v>127.0</v>
      </c>
      <c r="C128" s="3" t="s">
        <v>37</v>
      </c>
      <c r="D128" s="3" t="s">
        <v>84</v>
      </c>
      <c r="E128" s="3" t="s">
        <v>89</v>
      </c>
      <c r="F128" s="3" t="s">
        <v>152</v>
      </c>
      <c r="G128" s="3">
        <v>42.0</v>
      </c>
      <c r="H128" s="3">
        <v>13203.0</v>
      </c>
      <c r="I128" s="3">
        <v>20.0</v>
      </c>
      <c r="J128" s="3">
        <v>13057.0</v>
      </c>
      <c r="K128" s="3">
        <v>14429.0</v>
      </c>
      <c r="L128" s="3">
        <v>249.0</v>
      </c>
      <c r="M128" s="3">
        <v>364.0</v>
      </c>
      <c r="N128" s="3">
        <v>561.0</v>
      </c>
      <c r="O128" s="3">
        <v>10346.0</v>
      </c>
      <c r="P128" s="3">
        <v>150.0</v>
      </c>
      <c r="Q128" s="3">
        <v>32.0</v>
      </c>
      <c r="R128" s="3">
        <v>600.0</v>
      </c>
      <c r="S128" s="3">
        <v>347.0</v>
      </c>
      <c r="T128" s="3">
        <v>1129.0</v>
      </c>
      <c r="U128" s="3">
        <v>7.0</v>
      </c>
      <c r="V128" s="3">
        <v>12.0</v>
      </c>
      <c r="W128" s="3">
        <v>6.0</v>
      </c>
      <c r="X128" s="3">
        <v>11.0</v>
      </c>
      <c r="Y128" s="3">
        <v>1.0</v>
      </c>
      <c r="Z128" s="3">
        <v>1.0</v>
      </c>
      <c r="AA128" s="3" t="s">
        <v>51</v>
      </c>
      <c r="AB128" s="3">
        <v>16.0</v>
      </c>
      <c r="AC128" s="3">
        <v>31.0</v>
      </c>
      <c r="AD128" s="3">
        <v>15.0</v>
      </c>
      <c r="AE128" s="3">
        <v>29.0</v>
      </c>
      <c r="AF128" s="3">
        <v>1.0</v>
      </c>
      <c r="AG128" s="3">
        <v>2.0</v>
      </c>
      <c r="AH128" s="3">
        <v>12850.0</v>
      </c>
      <c r="AI128" s="3">
        <v>13800.0</v>
      </c>
      <c r="AJ128" s="3" t="str">
        <f t="array" ref="AJ128">IF(AA128="", "", XLOOKUP(AA128, 'Appendix B - Reason codes'!$A$4:$A$14, 'Appendix B - Reason codes'!$B$4:$B$14))</f>
        <v>Religious belief</v>
      </c>
    </row>
    <row r="129" ht="15.75" customHeight="1">
      <c r="A129" s="3" t="s">
        <v>151</v>
      </c>
      <c r="B129" s="3">
        <v>128.0</v>
      </c>
      <c r="C129" s="3" t="s">
        <v>37</v>
      </c>
      <c r="D129" s="3" t="s">
        <v>84</v>
      </c>
      <c r="E129" s="3" t="s">
        <v>90</v>
      </c>
      <c r="F129" s="3" t="s">
        <v>152</v>
      </c>
      <c r="G129" s="3">
        <v>37.0</v>
      </c>
      <c r="H129" s="3">
        <v>10823.0</v>
      </c>
      <c r="I129" s="3">
        <v>16.0</v>
      </c>
      <c r="J129" s="3">
        <v>8947.0</v>
      </c>
      <c r="K129" s="3">
        <v>11130.0</v>
      </c>
      <c r="L129" s="3">
        <v>171.0</v>
      </c>
      <c r="M129" s="3">
        <v>1043.0</v>
      </c>
      <c r="N129" s="3">
        <v>312.0</v>
      </c>
      <c r="O129" s="3">
        <v>6590.0</v>
      </c>
      <c r="P129" s="3">
        <v>267.0</v>
      </c>
      <c r="Q129" s="3">
        <v>218.0</v>
      </c>
      <c r="R129" s="3">
        <v>407.0</v>
      </c>
      <c r="S129" s="3">
        <v>108.0</v>
      </c>
      <c r="T129" s="3">
        <v>1000.0</v>
      </c>
      <c r="U129" s="3">
        <v>3.0</v>
      </c>
      <c r="V129" s="3">
        <v>6.0</v>
      </c>
      <c r="W129" s="3">
        <v>3.0</v>
      </c>
      <c r="X129" s="3">
        <v>6.0</v>
      </c>
      <c r="Y129" s="3">
        <v>0.0</v>
      </c>
      <c r="Z129" s="3">
        <v>0.0</v>
      </c>
      <c r="AA129" s="3" t="s">
        <v>78</v>
      </c>
      <c r="AB129" s="3">
        <v>14.0</v>
      </c>
      <c r="AC129" s="3">
        <v>26.0</v>
      </c>
      <c r="AD129" s="3">
        <v>10.0</v>
      </c>
      <c r="AE129" s="3">
        <v>19.0</v>
      </c>
      <c r="AF129" s="3">
        <v>4.0</v>
      </c>
      <c r="AG129" s="3">
        <v>7.0</v>
      </c>
      <c r="AH129" s="3">
        <v>10625.0</v>
      </c>
      <c r="AI129" s="3">
        <v>11950.0</v>
      </c>
      <c r="AJ129" s="3" t="str">
        <f t="array" ref="AJ129">IF(AA129="", "", XLOOKUP(AA129, 'Appendix B - Reason codes'!$A$4:$A$14, 'Appendix B - Reason codes'!$B$4:$B$14))</f>
        <v>Child sick</v>
      </c>
    </row>
    <row r="130" ht="15.75" customHeight="1">
      <c r="A130" s="3" t="s">
        <v>151</v>
      </c>
      <c r="B130" s="3">
        <v>129.0</v>
      </c>
      <c r="C130" s="3" t="s">
        <v>37</v>
      </c>
      <c r="D130" s="3" t="s">
        <v>84</v>
      </c>
      <c r="E130" s="3" t="s">
        <v>91</v>
      </c>
      <c r="F130" s="3" t="s">
        <v>152</v>
      </c>
      <c r="G130" s="3">
        <v>34.0</v>
      </c>
      <c r="H130" s="3">
        <v>6091.0</v>
      </c>
      <c r="I130" s="3">
        <v>9.0</v>
      </c>
      <c r="J130" s="3">
        <v>5219.0</v>
      </c>
      <c r="K130" s="3">
        <v>6716.0</v>
      </c>
      <c r="L130" s="3">
        <v>5.0</v>
      </c>
      <c r="M130" s="3">
        <v>527.0</v>
      </c>
      <c r="N130" s="3">
        <v>207.0</v>
      </c>
      <c r="O130" s="3">
        <v>4656.0</v>
      </c>
      <c r="P130" s="3">
        <v>150.0</v>
      </c>
      <c r="Q130" s="3">
        <v>90.0</v>
      </c>
      <c r="R130" s="3">
        <v>162.0</v>
      </c>
      <c r="S130" s="3">
        <v>87.0</v>
      </c>
      <c r="T130" s="3">
        <v>489.0</v>
      </c>
      <c r="U130" s="3">
        <v>4.0</v>
      </c>
      <c r="V130" s="3">
        <v>8.0</v>
      </c>
      <c r="W130" s="3">
        <v>3.0</v>
      </c>
      <c r="X130" s="3">
        <v>7.0</v>
      </c>
      <c r="Y130" s="3">
        <v>1.0</v>
      </c>
      <c r="Z130" s="3">
        <v>1.0</v>
      </c>
      <c r="AA130" s="3" t="s">
        <v>59</v>
      </c>
      <c r="AB130" s="3">
        <v>12.0</v>
      </c>
      <c r="AC130" s="3">
        <v>18.0</v>
      </c>
      <c r="AD130" s="3">
        <v>10.0</v>
      </c>
      <c r="AE130" s="3">
        <v>15.0</v>
      </c>
      <c r="AF130" s="3">
        <v>2.0</v>
      </c>
      <c r="AG130" s="3">
        <v>3.0</v>
      </c>
      <c r="AH130" s="3">
        <v>5854.0</v>
      </c>
      <c r="AI130" s="3">
        <v>6300.0</v>
      </c>
      <c r="AJ130" s="3" t="str">
        <f t="array" ref="AJ130">IF(AA130="", "", XLOOKUP(AA130, 'Appendix B - Reason codes'!$A$4:$A$14, 'Appendix B - Reason codes'!$B$4:$B$14))</f>
        <v>Concerned about adverse effect</v>
      </c>
    </row>
    <row r="131" ht="15.75" customHeight="1">
      <c r="A131" s="3" t="s">
        <v>151</v>
      </c>
      <c r="B131" s="3">
        <v>130.0</v>
      </c>
      <c r="C131" s="3" t="s">
        <v>37</v>
      </c>
      <c r="D131" s="3" t="s">
        <v>84</v>
      </c>
      <c r="E131" s="3" t="s">
        <v>92</v>
      </c>
      <c r="F131" s="3" t="s">
        <v>152</v>
      </c>
      <c r="G131" s="3">
        <v>19.0</v>
      </c>
      <c r="H131" s="3">
        <v>1813.0</v>
      </c>
      <c r="I131" s="3">
        <v>2.0</v>
      </c>
      <c r="J131" s="3">
        <v>1390.0</v>
      </c>
      <c r="K131" s="3">
        <v>1941.0</v>
      </c>
      <c r="L131" s="3">
        <v>16.0</v>
      </c>
      <c r="M131" s="3">
        <v>24.0</v>
      </c>
      <c r="N131" s="3">
        <v>42.0</v>
      </c>
      <c r="O131" s="3">
        <v>1007.0</v>
      </c>
      <c r="P131" s="3">
        <v>50.0</v>
      </c>
      <c r="Q131" s="3">
        <v>36.0</v>
      </c>
      <c r="R131" s="3">
        <v>6.0</v>
      </c>
      <c r="S131" s="3">
        <v>21.0</v>
      </c>
      <c r="T131" s="3">
        <v>113.0</v>
      </c>
      <c r="U131" s="3">
        <v>1.0</v>
      </c>
      <c r="V131" s="3">
        <v>2.0</v>
      </c>
      <c r="W131" s="3">
        <v>1.0</v>
      </c>
      <c r="X131" s="3">
        <v>2.0</v>
      </c>
      <c r="Y131" s="3">
        <v>0.0</v>
      </c>
      <c r="Z131" s="3">
        <v>0.0</v>
      </c>
      <c r="AA131" s="3" t="s">
        <v>46</v>
      </c>
      <c r="AB131" s="3">
        <v>2.0</v>
      </c>
      <c r="AC131" s="3">
        <v>3.0</v>
      </c>
      <c r="AD131" s="3">
        <v>1.0</v>
      </c>
      <c r="AE131" s="3">
        <v>2.0</v>
      </c>
      <c r="AF131" s="3">
        <v>1.0</v>
      </c>
      <c r="AG131" s="3">
        <v>1.0</v>
      </c>
      <c r="AH131" s="3">
        <v>1520.0</v>
      </c>
      <c r="AI131" s="3">
        <v>1650.0</v>
      </c>
      <c r="AJ131" s="3" t="str">
        <f t="array" ref="AJ131">IF(AA131="", "", XLOOKUP(AA131, 'Appendix B - Reason codes'!$A$4:$A$14, 'Appendix B - Reason codes'!$B$4:$B$14))</f>
        <v>Father didn’t allow</v>
      </c>
    </row>
    <row r="132" ht="15.75" customHeight="1">
      <c r="A132" s="3" t="s">
        <v>151</v>
      </c>
      <c r="B132" s="3">
        <v>131.0</v>
      </c>
      <c r="C132" s="3" t="s">
        <v>37</v>
      </c>
      <c r="D132" s="3" t="s">
        <v>93</v>
      </c>
      <c r="E132" s="3" t="s">
        <v>94</v>
      </c>
      <c r="F132" s="3" t="s">
        <v>152</v>
      </c>
      <c r="G132" s="3">
        <v>11.0</v>
      </c>
      <c r="H132" s="3">
        <v>5454.0</v>
      </c>
      <c r="I132" s="3">
        <v>8.0</v>
      </c>
      <c r="J132" s="3">
        <v>4175.0</v>
      </c>
      <c r="K132" s="3">
        <v>5729.0</v>
      </c>
      <c r="L132" s="3">
        <v>11.0</v>
      </c>
      <c r="M132" s="3">
        <v>243.0</v>
      </c>
      <c r="N132" s="3">
        <v>173.0</v>
      </c>
      <c r="O132" s="3">
        <v>4271.0</v>
      </c>
      <c r="P132" s="3">
        <v>109.0</v>
      </c>
      <c r="Q132" s="3">
        <v>38.0</v>
      </c>
      <c r="R132" s="3">
        <v>78.0</v>
      </c>
      <c r="S132" s="3">
        <v>59.0</v>
      </c>
      <c r="T132" s="3">
        <v>284.0</v>
      </c>
      <c r="U132" s="3">
        <v>5.0</v>
      </c>
      <c r="V132" s="3">
        <v>7.0</v>
      </c>
      <c r="W132" s="3">
        <v>4.0</v>
      </c>
      <c r="X132" s="3">
        <v>6.0</v>
      </c>
      <c r="Y132" s="3">
        <v>1.0</v>
      </c>
      <c r="Z132" s="3">
        <v>1.0</v>
      </c>
      <c r="AA132" s="3" t="s">
        <v>51</v>
      </c>
      <c r="AB132" s="3">
        <v>3.0</v>
      </c>
      <c r="AC132" s="3">
        <v>6.0</v>
      </c>
      <c r="AD132" s="3">
        <v>3.0</v>
      </c>
      <c r="AE132" s="3">
        <v>5.0</v>
      </c>
      <c r="AF132" s="3">
        <v>0.0</v>
      </c>
      <c r="AG132" s="3">
        <v>1.0</v>
      </c>
      <c r="AH132" s="3">
        <v>5219.0</v>
      </c>
      <c r="AI132" s="3">
        <v>5650.0</v>
      </c>
      <c r="AJ132" s="3" t="str">
        <f t="array" ref="AJ132">IF(AA132="", "", XLOOKUP(AA132, 'Appendix B - Reason codes'!$A$4:$A$14, 'Appendix B - Reason codes'!$B$4:$B$14))</f>
        <v>Religious belief</v>
      </c>
    </row>
    <row r="133" ht="15.75" customHeight="1">
      <c r="A133" s="3" t="s">
        <v>151</v>
      </c>
      <c r="B133" s="3">
        <v>132.0</v>
      </c>
      <c r="C133" s="3" t="s">
        <v>37</v>
      </c>
      <c r="D133" s="3" t="s">
        <v>93</v>
      </c>
      <c r="E133" s="3" t="s">
        <v>95</v>
      </c>
      <c r="F133" s="3" t="s">
        <v>152</v>
      </c>
      <c r="G133" s="3">
        <v>7.0</v>
      </c>
      <c r="H133" s="3">
        <v>4028.0</v>
      </c>
      <c r="I133" s="3">
        <v>6.0</v>
      </c>
      <c r="J133" s="3">
        <v>3456.0</v>
      </c>
      <c r="K133" s="3">
        <v>4331.0</v>
      </c>
      <c r="L133" s="3">
        <v>127.0</v>
      </c>
      <c r="M133" s="3">
        <v>42.0</v>
      </c>
      <c r="N133" s="3">
        <v>25.0</v>
      </c>
      <c r="O133" s="3">
        <v>3046.0</v>
      </c>
      <c r="P133" s="3">
        <v>144.0</v>
      </c>
      <c r="Q133" s="3">
        <v>140.0</v>
      </c>
      <c r="R133" s="3">
        <v>96.0</v>
      </c>
      <c r="S133" s="3">
        <v>103.0</v>
      </c>
      <c r="T133" s="3">
        <v>483.0</v>
      </c>
      <c r="U133" s="3">
        <v>2.0</v>
      </c>
      <c r="V133" s="3">
        <v>3.0</v>
      </c>
      <c r="W133" s="3">
        <v>2.0</v>
      </c>
      <c r="X133" s="3">
        <v>3.0</v>
      </c>
      <c r="Y133" s="3">
        <v>0.0</v>
      </c>
      <c r="Z133" s="3">
        <v>0.0</v>
      </c>
      <c r="AA133" s="3" t="s">
        <v>41</v>
      </c>
      <c r="AB133" s="3">
        <v>5.0</v>
      </c>
      <c r="AC133" s="3">
        <v>9.0</v>
      </c>
      <c r="AD133" s="3">
        <v>5.0</v>
      </c>
      <c r="AE133" s="3">
        <v>9.0</v>
      </c>
      <c r="AF133" s="3">
        <v>0.0</v>
      </c>
      <c r="AG133" s="3">
        <v>0.0</v>
      </c>
      <c r="AH133" s="3">
        <v>3786.0</v>
      </c>
      <c r="AI133" s="3">
        <v>4150.0</v>
      </c>
      <c r="AJ133" s="3" t="str">
        <f t="array" ref="AJ133">IF(AA133="", "", XLOOKUP(AA133, 'Appendix B - Reason codes'!$A$4:$A$14, 'Appendix B - Reason codes'!$B$4:$B$14))</f>
        <v>Fatigue from many rounds</v>
      </c>
    </row>
    <row r="134" ht="15.75" customHeight="1">
      <c r="A134" s="3" t="s">
        <v>151</v>
      </c>
      <c r="B134" s="3">
        <v>133.0</v>
      </c>
      <c r="C134" s="3" t="s">
        <v>37</v>
      </c>
      <c r="D134" s="3" t="s">
        <v>93</v>
      </c>
      <c r="E134" s="3" t="s">
        <v>96</v>
      </c>
      <c r="F134" s="3" t="s">
        <v>152</v>
      </c>
      <c r="G134" s="3">
        <v>43.0</v>
      </c>
      <c r="H134" s="3">
        <v>7384.0</v>
      </c>
      <c r="I134" s="3">
        <v>11.0</v>
      </c>
      <c r="J134" s="3">
        <v>6620.0</v>
      </c>
      <c r="K134" s="3">
        <v>8196.0</v>
      </c>
      <c r="L134" s="3">
        <v>71.0</v>
      </c>
      <c r="M134" s="3">
        <v>205.0</v>
      </c>
      <c r="N134" s="3">
        <v>153.0</v>
      </c>
      <c r="O134" s="3">
        <v>4988.0</v>
      </c>
      <c r="P134" s="3">
        <v>11.0</v>
      </c>
      <c r="Q134" s="3">
        <v>150.0</v>
      </c>
      <c r="R134" s="3">
        <v>239.0</v>
      </c>
      <c r="S134" s="3">
        <v>84.0</v>
      </c>
      <c r="T134" s="3">
        <v>484.0</v>
      </c>
      <c r="U134" s="3">
        <v>5.0</v>
      </c>
      <c r="V134" s="3">
        <v>10.0</v>
      </c>
      <c r="W134" s="3">
        <v>4.0</v>
      </c>
      <c r="X134" s="3">
        <v>9.0</v>
      </c>
      <c r="Y134" s="3">
        <v>1.0</v>
      </c>
      <c r="Z134" s="3">
        <v>1.0</v>
      </c>
      <c r="AA134" s="3" t="s">
        <v>46</v>
      </c>
      <c r="AB134" s="3">
        <v>9.0</v>
      </c>
      <c r="AC134" s="3">
        <v>16.0</v>
      </c>
      <c r="AD134" s="3">
        <v>7.0</v>
      </c>
      <c r="AE134" s="3">
        <v>12.0</v>
      </c>
      <c r="AF134" s="3">
        <v>2.0</v>
      </c>
      <c r="AG134" s="3">
        <v>4.0</v>
      </c>
      <c r="AH134" s="3">
        <v>7142.0</v>
      </c>
      <c r="AI134" s="3">
        <v>7850.0</v>
      </c>
      <c r="AJ134" s="3" t="str">
        <f t="array" ref="AJ134">IF(AA134="", "", XLOOKUP(AA134, 'Appendix B - Reason codes'!$A$4:$A$14, 'Appendix B - Reason codes'!$B$4:$B$14))</f>
        <v>Father didn’t allow</v>
      </c>
    </row>
    <row r="135" ht="15.75" customHeight="1">
      <c r="A135" s="3" t="s">
        <v>151</v>
      </c>
      <c r="B135" s="3">
        <v>134.0</v>
      </c>
      <c r="C135" s="3" t="s">
        <v>37</v>
      </c>
      <c r="D135" s="3" t="s">
        <v>93</v>
      </c>
      <c r="E135" s="3" t="s">
        <v>97</v>
      </c>
      <c r="F135" s="3" t="s">
        <v>152</v>
      </c>
      <c r="G135" s="3">
        <v>41.0</v>
      </c>
      <c r="H135" s="3">
        <v>16473.0</v>
      </c>
      <c r="I135" s="3">
        <v>25.0</v>
      </c>
      <c r="J135" s="3">
        <v>16162.0</v>
      </c>
      <c r="K135" s="3">
        <v>18389.0</v>
      </c>
      <c r="L135" s="3">
        <v>599.0</v>
      </c>
      <c r="M135" s="3">
        <v>760.0</v>
      </c>
      <c r="N135" s="3">
        <v>252.0</v>
      </c>
      <c r="O135" s="3">
        <v>11936.0</v>
      </c>
      <c r="P135" s="3">
        <v>235.0</v>
      </c>
      <c r="Q135" s="3">
        <v>65.0</v>
      </c>
      <c r="R135" s="3">
        <v>619.0</v>
      </c>
      <c r="S135" s="3">
        <v>125.0</v>
      </c>
      <c r="T135" s="3">
        <v>1044.0</v>
      </c>
      <c r="U135" s="3">
        <v>10.0</v>
      </c>
      <c r="V135" s="3">
        <v>15.0</v>
      </c>
      <c r="W135" s="3">
        <v>10.0</v>
      </c>
      <c r="X135" s="3">
        <v>14.0</v>
      </c>
      <c r="Y135" s="3">
        <v>0.0</v>
      </c>
      <c r="Z135" s="3">
        <v>1.0</v>
      </c>
      <c r="AA135" s="3" t="s">
        <v>46</v>
      </c>
      <c r="AB135" s="3">
        <v>14.0</v>
      </c>
      <c r="AC135" s="3">
        <v>28.0</v>
      </c>
      <c r="AD135" s="3">
        <v>11.0</v>
      </c>
      <c r="AE135" s="3">
        <v>23.0</v>
      </c>
      <c r="AF135" s="3">
        <v>3.0</v>
      </c>
      <c r="AG135" s="3">
        <v>5.0</v>
      </c>
      <c r="AH135" s="3">
        <v>15946.0</v>
      </c>
      <c r="AI135" s="3">
        <v>17500.0</v>
      </c>
      <c r="AJ135" s="3" t="str">
        <f t="array" ref="AJ135">IF(AA135="", "", XLOOKUP(AA135, 'Appendix B - Reason codes'!$A$4:$A$14, 'Appendix B - Reason codes'!$B$4:$B$14))</f>
        <v>Father didn’t allow</v>
      </c>
    </row>
    <row r="136" ht="15.75" customHeight="1">
      <c r="A136" s="3" t="s">
        <v>151</v>
      </c>
      <c r="B136" s="3">
        <v>135.0</v>
      </c>
      <c r="C136" s="3" t="s">
        <v>37</v>
      </c>
      <c r="D136" s="3" t="s">
        <v>93</v>
      </c>
      <c r="E136" s="3" t="s">
        <v>98</v>
      </c>
      <c r="F136" s="3" t="s">
        <v>152</v>
      </c>
      <c r="G136" s="3">
        <v>21.0</v>
      </c>
      <c r="H136" s="3">
        <v>3586.0</v>
      </c>
      <c r="I136" s="3">
        <v>5.0</v>
      </c>
      <c r="J136" s="3">
        <v>3557.0</v>
      </c>
      <c r="K136" s="3">
        <v>3985.0</v>
      </c>
      <c r="L136" s="3">
        <v>34.0</v>
      </c>
      <c r="M136" s="3">
        <v>1.0</v>
      </c>
      <c r="N136" s="3">
        <v>140.0</v>
      </c>
      <c r="O136" s="3">
        <v>2463.0</v>
      </c>
      <c r="P136" s="3">
        <v>28.0</v>
      </c>
      <c r="Q136" s="3">
        <v>86.0</v>
      </c>
      <c r="R136" s="3">
        <v>46.0</v>
      </c>
      <c r="S136" s="3">
        <v>36.0</v>
      </c>
      <c r="T136" s="3">
        <v>196.0</v>
      </c>
      <c r="U136" s="3">
        <v>2.0</v>
      </c>
      <c r="V136" s="3">
        <v>3.0</v>
      </c>
      <c r="W136" s="3">
        <v>2.0</v>
      </c>
      <c r="X136" s="3">
        <v>3.0</v>
      </c>
      <c r="Y136" s="3">
        <v>0.0</v>
      </c>
      <c r="Z136" s="3">
        <v>0.0</v>
      </c>
      <c r="AA136" s="3" t="s">
        <v>73</v>
      </c>
      <c r="AB136" s="3">
        <v>3.0</v>
      </c>
      <c r="AC136" s="3">
        <v>5.0</v>
      </c>
      <c r="AD136" s="3">
        <v>3.0</v>
      </c>
      <c r="AE136" s="3">
        <v>5.0</v>
      </c>
      <c r="AF136" s="3">
        <v>0.0</v>
      </c>
      <c r="AG136" s="3">
        <v>0.0</v>
      </c>
      <c r="AH136" s="3">
        <v>3601.0</v>
      </c>
      <c r="AI136" s="3">
        <v>3900.0</v>
      </c>
      <c r="AJ136" s="3" t="str">
        <f t="array" ref="AJ136">IF(AA136="", "", XLOOKUP(AA136, 'Appendix B - Reason codes'!$A$4:$A$14, 'Appendix B - Reason codes'!$B$4:$B$14))</f>
        <v>Has an alternative to the vaccine</v>
      </c>
    </row>
    <row r="137" ht="15.75" customHeight="1">
      <c r="A137" s="3" t="s">
        <v>151</v>
      </c>
      <c r="B137" s="3">
        <v>136.0</v>
      </c>
      <c r="C137" s="3" t="s">
        <v>37</v>
      </c>
      <c r="D137" s="3" t="s">
        <v>99</v>
      </c>
      <c r="E137" s="3" t="s">
        <v>100</v>
      </c>
      <c r="F137" s="3" t="s">
        <v>152</v>
      </c>
      <c r="G137" s="3">
        <v>4.0</v>
      </c>
      <c r="H137" s="3">
        <v>2703.0</v>
      </c>
      <c r="I137" s="3">
        <v>4.0</v>
      </c>
      <c r="J137" s="3">
        <v>2034.0</v>
      </c>
      <c r="K137" s="3">
        <v>3008.0</v>
      </c>
      <c r="L137" s="3">
        <v>77.0</v>
      </c>
      <c r="M137" s="3">
        <v>18.0</v>
      </c>
      <c r="N137" s="3">
        <v>18.0</v>
      </c>
      <c r="O137" s="3">
        <v>1981.0</v>
      </c>
      <c r="P137" s="3">
        <v>67.0</v>
      </c>
      <c r="Q137" s="3">
        <v>88.0</v>
      </c>
      <c r="R137" s="3">
        <v>45.0</v>
      </c>
      <c r="S137" s="3">
        <v>27.0</v>
      </c>
      <c r="T137" s="3">
        <v>227.0</v>
      </c>
      <c r="U137" s="3">
        <v>3.0</v>
      </c>
      <c r="V137" s="3">
        <v>6.0</v>
      </c>
      <c r="W137" s="3">
        <v>3.0</v>
      </c>
      <c r="X137" s="3">
        <v>6.0</v>
      </c>
      <c r="Y137" s="3">
        <v>0.0</v>
      </c>
      <c r="Z137" s="3">
        <v>0.0</v>
      </c>
      <c r="AA137" s="3" t="s">
        <v>59</v>
      </c>
      <c r="AB137" s="3">
        <v>2.0</v>
      </c>
      <c r="AC137" s="3">
        <v>3.0</v>
      </c>
      <c r="AD137" s="3">
        <v>2.0</v>
      </c>
      <c r="AE137" s="3">
        <v>3.0</v>
      </c>
      <c r="AF137" s="3">
        <v>0.0</v>
      </c>
      <c r="AG137" s="3">
        <v>0.0</v>
      </c>
      <c r="AH137" s="3">
        <v>2501.0</v>
      </c>
      <c r="AI137" s="3">
        <v>2700.0</v>
      </c>
      <c r="AJ137" s="3" t="str">
        <f t="array" ref="AJ137">IF(AA137="", "", XLOOKUP(AA137, 'Appendix B - Reason codes'!$A$4:$A$14, 'Appendix B - Reason codes'!$B$4:$B$14))</f>
        <v>Concerned about adverse effect</v>
      </c>
    </row>
    <row r="138" ht="15.75" customHeight="1">
      <c r="A138" s="3" t="s">
        <v>151</v>
      </c>
      <c r="B138" s="3">
        <v>137.0</v>
      </c>
      <c r="C138" s="3" t="s">
        <v>37</v>
      </c>
      <c r="D138" s="3" t="s">
        <v>99</v>
      </c>
      <c r="E138" s="3" t="s">
        <v>101</v>
      </c>
      <c r="F138" s="3" t="s">
        <v>152</v>
      </c>
      <c r="G138" s="3">
        <v>46.0</v>
      </c>
      <c r="H138" s="3">
        <v>4696.0</v>
      </c>
      <c r="I138" s="3">
        <v>7.0</v>
      </c>
      <c r="J138" s="3">
        <v>4005.0</v>
      </c>
      <c r="K138" s="3">
        <v>5156.0</v>
      </c>
      <c r="L138" s="3">
        <v>122.0</v>
      </c>
      <c r="M138" s="3">
        <v>113.0</v>
      </c>
      <c r="N138" s="3">
        <v>176.0</v>
      </c>
      <c r="O138" s="3">
        <v>3261.0</v>
      </c>
      <c r="P138" s="3">
        <v>11.0</v>
      </c>
      <c r="Q138" s="3">
        <v>140.0</v>
      </c>
      <c r="R138" s="3">
        <v>31.0</v>
      </c>
      <c r="S138" s="3">
        <v>54.0</v>
      </c>
      <c r="T138" s="3">
        <v>236.0</v>
      </c>
      <c r="U138" s="3">
        <v>5.0</v>
      </c>
      <c r="V138" s="3">
        <v>9.0</v>
      </c>
      <c r="W138" s="3">
        <v>4.0</v>
      </c>
      <c r="X138" s="3">
        <v>7.0</v>
      </c>
      <c r="Y138" s="3">
        <v>1.0</v>
      </c>
      <c r="Z138" s="3">
        <v>2.0</v>
      </c>
      <c r="AA138" s="3" t="s">
        <v>82</v>
      </c>
      <c r="AB138" s="3">
        <v>4.0</v>
      </c>
      <c r="AC138" s="3">
        <v>7.0</v>
      </c>
      <c r="AD138" s="3">
        <v>4.0</v>
      </c>
      <c r="AE138" s="3">
        <v>7.0</v>
      </c>
      <c r="AF138" s="3">
        <v>0.0</v>
      </c>
      <c r="AG138" s="3">
        <v>0.0</v>
      </c>
      <c r="AH138" s="3">
        <v>4541.0</v>
      </c>
      <c r="AI138" s="3">
        <v>4850.0</v>
      </c>
      <c r="AJ138" s="3" t="str">
        <f t="array" ref="AJ138">IF(AA138="", "", XLOOKUP(AA138, 'Appendix B - Reason codes'!$A$4:$A$14, 'Appendix B - Reason codes'!$B$4:$B$14))</f>
        <v>Claims to have a cure</v>
      </c>
    </row>
    <row r="139" ht="15.75" customHeight="1">
      <c r="A139" s="3" t="s">
        <v>151</v>
      </c>
      <c r="B139" s="3">
        <v>138.0</v>
      </c>
      <c r="C139" s="3" t="s">
        <v>37</v>
      </c>
      <c r="D139" s="3" t="s">
        <v>99</v>
      </c>
      <c r="E139" s="3" t="s">
        <v>102</v>
      </c>
      <c r="F139" s="3" t="s">
        <v>152</v>
      </c>
      <c r="G139" s="3">
        <v>13.0</v>
      </c>
      <c r="H139" s="3">
        <v>6926.0</v>
      </c>
      <c r="I139" s="3">
        <v>10.0</v>
      </c>
      <c r="J139" s="3">
        <v>5956.0</v>
      </c>
      <c r="K139" s="3">
        <v>6991.0</v>
      </c>
      <c r="L139" s="3">
        <v>273.0</v>
      </c>
      <c r="M139" s="3">
        <v>444.0</v>
      </c>
      <c r="N139" s="3">
        <v>14.0</v>
      </c>
      <c r="O139" s="3">
        <v>4689.0</v>
      </c>
      <c r="P139" s="3">
        <v>194.0</v>
      </c>
      <c r="Q139" s="3">
        <v>240.0</v>
      </c>
      <c r="R139" s="3">
        <v>186.0</v>
      </c>
      <c r="S139" s="3">
        <v>91.0</v>
      </c>
      <c r="T139" s="3">
        <v>711.0</v>
      </c>
      <c r="U139" s="3">
        <v>5.0</v>
      </c>
      <c r="V139" s="3">
        <v>8.0</v>
      </c>
      <c r="W139" s="3">
        <v>4.0</v>
      </c>
      <c r="X139" s="3">
        <v>7.0</v>
      </c>
      <c r="Y139" s="3">
        <v>1.0</v>
      </c>
      <c r="Z139" s="3">
        <v>1.0</v>
      </c>
      <c r="AA139" s="3" t="s">
        <v>41</v>
      </c>
      <c r="AB139" s="3">
        <v>9.0</v>
      </c>
      <c r="AC139" s="3">
        <v>14.0</v>
      </c>
      <c r="AD139" s="3">
        <v>7.0</v>
      </c>
      <c r="AE139" s="3">
        <v>10.0</v>
      </c>
      <c r="AF139" s="3">
        <v>2.0</v>
      </c>
      <c r="AG139" s="3">
        <v>4.0</v>
      </c>
      <c r="AH139" s="3">
        <v>6851.0</v>
      </c>
      <c r="AI139" s="3">
        <v>7700.0</v>
      </c>
      <c r="AJ139" s="3" t="str">
        <f t="array" ref="AJ139">IF(AA139="", "", XLOOKUP(AA139, 'Appendix B - Reason codes'!$A$4:$A$14, 'Appendix B - Reason codes'!$B$4:$B$14))</f>
        <v>Fatigue from many rounds</v>
      </c>
    </row>
    <row r="140" ht="15.75" customHeight="1">
      <c r="A140" s="3" t="s">
        <v>151</v>
      </c>
      <c r="B140" s="3">
        <v>139.0</v>
      </c>
      <c r="C140" s="3" t="s">
        <v>37</v>
      </c>
      <c r="D140" s="3" t="s">
        <v>99</v>
      </c>
      <c r="E140" s="3" t="s">
        <v>103</v>
      </c>
      <c r="F140" s="3" t="s">
        <v>152</v>
      </c>
      <c r="G140" s="3">
        <v>43.0</v>
      </c>
      <c r="H140" s="3">
        <v>10356.0</v>
      </c>
      <c r="I140" s="3">
        <v>15.0</v>
      </c>
      <c r="J140" s="3">
        <v>10176.0</v>
      </c>
      <c r="K140" s="3">
        <v>11447.0</v>
      </c>
      <c r="L140" s="3">
        <v>249.0</v>
      </c>
      <c r="M140" s="3">
        <v>813.0</v>
      </c>
      <c r="N140" s="3">
        <v>56.0</v>
      </c>
      <c r="O140" s="3">
        <v>5752.0</v>
      </c>
      <c r="P140" s="3">
        <v>285.0</v>
      </c>
      <c r="Q140" s="3">
        <v>277.0</v>
      </c>
      <c r="R140" s="3">
        <v>360.0</v>
      </c>
      <c r="S140" s="3">
        <v>232.0</v>
      </c>
      <c r="T140" s="3">
        <v>1154.0</v>
      </c>
      <c r="U140" s="3">
        <v>8.0</v>
      </c>
      <c r="V140" s="3">
        <v>13.0</v>
      </c>
      <c r="W140" s="3">
        <v>7.0</v>
      </c>
      <c r="X140" s="3">
        <v>11.0</v>
      </c>
      <c r="Y140" s="3">
        <v>1.0</v>
      </c>
      <c r="Z140" s="3">
        <v>2.0</v>
      </c>
      <c r="AA140" s="3" t="s">
        <v>61</v>
      </c>
      <c r="AB140" s="3">
        <v>13.0</v>
      </c>
      <c r="AC140" s="3">
        <v>25.0</v>
      </c>
      <c r="AD140" s="3">
        <v>10.0</v>
      </c>
      <c r="AE140" s="3">
        <v>19.0</v>
      </c>
      <c r="AF140" s="3">
        <v>3.0</v>
      </c>
      <c r="AG140" s="3">
        <v>6.0</v>
      </c>
      <c r="AH140" s="3">
        <v>9728.0</v>
      </c>
      <c r="AI140" s="3">
        <v>10450.0</v>
      </c>
      <c r="AJ140" s="3" t="str">
        <f t="array" ref="AJ140">IF(AA140="", "", XLOOKUP(AA140, 'Appendix B - Reason codes'!$A$4:$A$14, 'Appendix B - Reason codes'!$B$4:$B$14))</f>
        <v>No reason given</v>
      </c>
    </row>
    <row r="141" ht="15.75" customHeight="1">
      <c r="A141" s="3" t="s">
        <v>151</v>
      </c>
      <c r="B141" s="3">
        <v>140.0</v>
      </c>
      <c r="C141" s="3" t="s">
        <v>37</v>
      </c>
      <c r="D141" s="3" t="s">
        <v>99</v>
      </c>
      <c r="E141" s="3" t="s">
        <v>104</v>
      </c>
      <c r="F141" s="3" t="s">
        <v>152</v>
      </c>
      <c r="G141" s="3">
        <v>35.0</v>
      </c>
      <c r="H141" s="3">
        <v>1493.0</v>
      </c>
      <c r="I141" s="3">
        <v>2.0</v>
      </c>
      <c r="J141" s="3">
        <v>1397.0</v>
      </c>
      <c r="K141" s="3">
        <v>1542.0</v>
      </c>
      <c r="L141" s="3">
        <v>7.0</v>
      </c>
      <c r="M141" s="3">
        <v>117.0</v>
      </c>
      <c r="N141" s="3">
        <v>9.0</v>
      </c>
      <c r="O141" s="3">
        <v>1164.0</v>
      </c>
      <c r="P141" s="3">
        <v>56.0</v>
      </c>
      <c r="Q141" s="3">
        <v>6.0</v>
      </c>
      <c r="R141" s="3">
        <v>58.0</v>
      </c>
      <c r="S141" s="3">
        <v>23.0</v>
      </c>
      <c r="T141" s="3">
        <v>143.0</v>
      </c>
      <c r="U141" s="3">
        <v>1.0</v>
      </c>
      <c r="V141" s="3">
        <v>2.0</v>
      </c>
      <c r="W141" s="3">
        <v>1.0</v>
      </c>
      <c r="X141" s="3">
        <v>2.0</v>
      </c>
      <c r="Y141" s="3">
        <v>0.0</v>
      </c>
      <c r="Z141" s="3">
        <v>0.0</v>
      </c>
      <c r="AA141" s="3" t="s">
        <v>78</v>
      </c>
      <c r="AB141" s="3">
        <v>1.0</v>
      </c>
      <c r="AC141" s="3">
        <v>1.0</v>
      </c>
      <c r="AD141" s="3">
        <v>1.0</v>
      </c>
      <c r="AE141" s="3">
        <v>1.0</v>
      </c>
      <c r="AF141" s="3">
        <v>0.0</v>
      </c>
      <c r="AG141" s="3">
        <v>0.0</v>
      </c>
      <c r="AH141" s="3">
        <v>1523.0</v>
      </c>
      <c r="AI141" s="3">
        <v>1700.0</v>
      </c>
      <c r="AJ141" s="3" t="str">
        <f t="array" ref="AJ141">IF(AA141="", "", XLOOKUP(AA141, 'Appendix B - Reason codes'!$A$4:$A$14, 'Appendix B - Reason codes'!$B$4:$B$14))</f>
        <v>Child sick</v>
      </c>
    </row>
    <row r="142" ht="15.75" customHeight="1">
      <c r="A142" s="3" t="s">
        <v>151</v>
      </c>
      <c r="B142" s="3">
        <v>141.0</v>
      </c>
      <c r="C142" s="3" t="s">
        <v>37</v>
      </c>
      <c r="D142" s="3" t="s">
        <v>99</v>
      </c>
      <c r="E142" s="3" t="s">
        <v>105</v>
      </c>
      <c r="F142" s="3" t="s">
        <v>152</v>
      </c>
      <c r="G142" s="3">
        <v>113.0</v>
      </c>
      <c r="H142" s="3">
        <v>55428.0</v>
      </c>
      <c r="I142" s="3">
        <v>85.0</v>
      </c>
      <c r="J142" s="3">
        <v>52764.0</v>
      </c>
      <c r="K142" s="3">
        <v>61030.0</v>
      </c>
      <c r="L142" s="3">
        <v>203.0</v>
      </c>
      <c r="M142" s="3">
        <v>2058.0</v>
      </c>
      <c r="N142" s="3">
        <v>1566.0</v>
      </c>
      <c r="O142" s="3">
        <v>39387.0</v>
      </c>
      <c r="P142" s="3">
        <v>1335.0</v>
      </c>
      <c r="Q142" s="3">
        <v>1939.0</v>
      </c>
      <c r="R142" s="3">
        <v>2080.0</v>
      </c>
      <c r="S142" s="3">
        <v>549.0</v>
      </c>
      <c r="T142" s="3">
        <v>5903.0</v>
      </c>
      <c r="U142" s="3">
        <v>26.0</v>
      </c>
      <c r="V142" s="3">
        <v>40.0</v>
      </c>
      <c r="W142" s="3">
        <v>23.0</v>
      </c>
      <c r="X142" s="3">
        <v>35.0</v>
      </c>
      <c r="Y142" s="3">
        <v>3.0</v>
      </c>
      <c r="Z142" s="3">
        <v>5.0</v>
      </c>
      <c r="AA142" s="3" t="s">
        <v>51</v>
      </c>
      <c r="AB142" s="3">
        <v>54.0</v>
      </c>
      <c r="AC142" s="3">
        <v>102.0</v>
      </c>
      <c r="AD142" s="3">
        <v>45.0</v>
      </c>
      <c r="AE142" s="3">
        <v>84.0</v>
      </c>
      <c r="AF142" s="3">
        <v>9.0</v>
      </c>
      <c r="AG142" s="3">
        <v>18.0</v>
      </c>
      <c r="AH142" s="3">
        <v>53007.0</v>
      </c>
      <c r="AI142" s="3">
        <v>56500.0</v>
      </c>
      <c r="AJ142" s="3" t="str">
        <f t="array" ref="AJ142">IF(AA142="", "", XLOOKUP(AA142, 'Appendix B - Reason codes'!$A$4:$A$14, 'Appendix B - Reason codes'!$B$4:$B$14))</f>
        <v>Religious belief</v>
      </c>
    </row>
    <row r="143" ht="15.75" customHeight="1">
      <c r="A143" s="3" t="s">
        <v>151</v>
      </c>
      <c r="B143" s="3">
        <v>142.0</v>
      </c>
      <c r="C143" s="3" t="s">
        <v>37</v>
      </c>
      <c r="D143" s="3" t="s">
        <v>99</v>
      </c>
      <c r="E143" s="3" t="s">
        <v>106</v>
      </c>
      <c r="F143" s="3" t="s">
        <v>152</v>
      </c>
      <c r="G143" s="3">
        <v>15.0</v>
      </c>
      <c r="H143" s="3">
        <v>3381.0</v>
      </c>
      <c r="I143" s="3">
        <v>5.0</v>
      </c>
      <c r="J143" s="3">
        <v>2839.0</v>
      </c>
      <c r="K143" s="3">
        <v>3719.0</v>
      </c>
      <c r="L143" s="3">
        <v>5.0</v>
      </c>
      <c r="M143" s="3">
        <v>220.0</v>
      </c>
      <c r="N143" s="3">
        <v>3.0</v>
      </c>
      <c r="O143" s="3">
        <v>2584.0</v>
      </c>
      <c r="P143" s="3">
        <v>118.0</v>
      </c>
      <c r="Q143" s="3">
        <v>95.0</v>
      </c>
      <c r="R143" s="3">
        <v>52.0</v>
      </c>
      <c r="S143" s="3">
        <v>88.0</v>
      </c>
      <c r="T143" s="3">
        <v>353.0</v>
      </c>
      <c r="U143" s="3">
        <v>1.0</v>
      </c>
      <c r="V143" s="3">
        <v>2.0</v>
      </c>
      <c r="W143" s="3">
        <v>1.0</v>
      </c>
      <c r="X143" s="3">
        <v>2.0</v>
      </c>
      <c r="Y143" s="3">
        <v>0.0</v>
      </c>
      <c r="Z143" s="3">
        <v>0.0</v>
      </c>
      <c r="AA143" s="3" t="s">
        <v>41</v>
      </c>
      <c r="AB143" s="3">
        <v>2.0</v>
      </c>
      <c r="AC143" s="3">
        <v>3.0</v>
      </c>
      <c r="AD143" s="3">
        <v>1.0</v>
      </c>
      <c r="AE143" s="3">
        <v>2.0</v>
      </c>
      <c r="AF143" s="3">
        <v>1.0</v>
      </c>
      <c r="AG143" s="3">
        <v>1.0</v>
      </c>
      <c r="AH143" s="3">
        <v>3168.0</v>
      </c>
      <c r="AI143" s="3">
        <v>3450.0</v>
      </c>
      <c r="AJ143" s="3" t="str">
        <f t="array" ref="AJ143">IF(AA143="", "", XLOOKUP(AA143, 'Appendix B - Reason codes'!$A$4:$A$14, 'Appendix B - Reason codes'!$B$4:$B$14))</f>
        <v>Fatigue from many rounds</v>
      </c>
    </row>
    <row r="144" ht="15.75" customHeight="1">
      <c r="A144" s="3" t="s">
        <v>151</v>
      </c>
      <c r="B144" s="3">
        <v>143.0</v>
      </c>
      <c r="C144" s="3" t="s">
        <v>37</v>
      </c>
      <c r="D144" s="3" t="s">
        <v>99</v>
      </c>
      <c r="E144" s="3" t="s">
        <v>107</v>
      </c>
      <c r="F144" s="3" t="s">
        <v>152</v>
      </c>
      <c r="G144" s="3">
        <v>30.0</v>
      </c>
      <c r="H144" s="3">
        <v>12369.0</v>
      </c>
      <c r="I144" s="3">
        <v>19.0</v>
      </c>
      <c r="J144" s="3">
        <v>9129.0</v>
      </c>
      <c r="K144" s="3">
        <v>12872.0</v>
      </c>
      <c r="L144" s="3">
        <v>456.0</v>
      </c>
      <c r="M144" s="3">
        <v>345.0</v>
      </c>
      <c r="N144" s="3">
        <v>385.0</v>
      </c>
      <c r="O144" s="3">
        <v>7633.0</v>
      </c>
      <c r="P144" s="3">
        <v>348.0</v>
      </c>
      <c r="Q144" s="3">
        <v>56.0</v>
      </c>
      <c r="R144" s="3">
        <v>361.0</v>
      </c>
      <c r="S144" s="3">
        <v>174.0</v>
      </c>
      <c r="T144" s="3">
        <v>939.0</v>
      </c>
      <c r="U144" s="3">
        <v>8.0</v>
      </c>
      <c r="V144" s="3">
        <v>17.0</v>
      </c>
      <c r="W144" s="3">
        <v>7.0</v>
      </c>
      <c r="X144" s="3">
        <v>14.0</v>
      </c>
      <c r="Y144" s="3">
        <v>1.0</v>
      </c>
      <c r="Z144" s="3">
        <v>3.0</v>
      </c>
      <c r="AA144" s="3" t="s">
        <v>51</v>
      </c>
      <c r="AB144" s="3">
        <v>7.0</v>
      </c>
      <c r="AC144" s="3">
        <v>10.0</v>
      </c>
      <c r="AD144" s="3">
        <v>5.0</v>
      </c>
      <c r="AE144" s="3">
        <v>7.0</v>
      </c>
      <c r="AF144" s="3">
        <v>2.0</v>
      </c>
      <c r="AG144" s="3">
        <v>3.0</v>
      </c>
      <c r="AH144" s="3">
        <v>11903.0</v>
      </c>
      <c r="AI144" s="3">
        <v>12750.0</v>
      </c>
      <c r="AJ144" s="3" t="str">
        <f t="array" ref="AJ144">IF(AA144="", "", XLOOKUP(AA144, 'Appendix B - Reason codes'!$A$4:$A$14, 'Appendix B - Reason codes'!$B$4:$B$14))</f>
        <v>Religious belief</v>
      </c>
    </row>
    <row r="145" ht="15.75" customHeight="1">
      <c r="A145" s="3" t="s">
        <v>151</v>
      </c>
      <c r="B145" s="3">
        <v>144.0</v>
      </c>
      <c r="C145" s="3" t="s">
        <v>37</v>
      </c>
      <c r="D145" s="3" t="s">
        <v>99</v>
      </c>
      <c r="E145" s="3" t="s">
        <v>108</v>
      </c>
      <c r="F145" s="3" t="s">
        <v>152</v>
      </c>
      <c r="G145" s="3">
        <v>42.0</v>
      </c>
      <c r="H145" s="3">
        <v>1929.0</v>
      </c>
      <c r="I145" s="3">
        <v>2.0</v>
      </c>
      <c r="J145" s="3">
        <v>1928.0</v>
      </c>
      <c r="K145" s="3">
        <v>2160.0</v>
      </c>
      <c r="L145" s="3">
        <v>36.0</v>
      </c>
      <c r="M145" s="3">
        <v>12.0</v>
      </c>
      <c r="N145" s="3">
        <v>3.0</v>
      </c>
      <c r="O145" s="3">
        <v>1414.0</v>
      </c>
      <c r="P145" s="3">
        <v>38.0</v>
      </c>
      <c r="Q145" s="3">
        <v>31.0</v>
      </c>
      <c r="R145" s="3">
        <v>36.0</v>
      </c>
      <c r="S145" s="3">
        <v>42.0</v>
      </c>
      <c r="T145" s="3">
        <v>147.0</v>
      </c>
      <c r="U145" s="3">
        <v>3.0</v>
      </c>
      <c r="V145" s="3">
        <v>6.0</v>
      </c>
      <c r="W145" s="3">
        <v>3.0</v>
      </c>
      <c r="X145" s="3">
        <v>6.0</v>
      </c>
      <c r="Y145" s="3">
        <v>0.0</v>
      </c>
      <c r="Z145" s="3">
        <v>0.0</v>
      </c>
      <c r="AA145" s="3" t="s">
        <v>51</v>
      </c>
      <c r="AB145" s="3">
        <v>3.0</v>
      </c>
      <c r="AC145" s="3">
        <v>4.0</v>
      </c>
      <c r="AD145" s="3">
        <v>3.0</v>
      </c>
      <c r="AE145" s="3">
        <v>3.0</v>
      </c>
      <c r="AF145" s="3">
        <v>0.0</v>
      </c>
      <c r="AG145" s="3">
        <v>1.0</v>
      </c>
      <c r="AH145" s="3">
        <v>1767.0</v>
      </c>
      <c r="AI145" s="3">
        <v>1900.0</v>
      </c>
      <c r="AJ145" s="3" t="str">
        <f t="array" ref="AJ145">IF(AA145="", "", XLOOKUP(AA145, 'Appendix B - Reason codes'!$A$4:$A$14, 'Appendix B - Reason codes'!$B$4:$B$14))</f>
        <v>Religious belief</v>
      </c>
    </row>
    <row r="146" ht="15.75" customHeight="1">
      <c r="A146" s="3" t="s">
        <v>151</v>
      </c>
      <c r="B146" s="3">
        <v>145.0</v>
      </c>
      <c r="C146" s="3" t="s">
        <v>37</v>
      </c>
      <c r="D146" s="3" t="s">
        <v>99</v>
      </c>
      <c r="E146" s="3" t="s">
        <v>109</v>
      </c>
      <c r="F146" s="3" t="s">
        <v>152</v>
      </c>
      <c r="G146" s="3">
        <v>41.0</v>
      </c>
      <c r="H146" s="3">
        <v>3682.0</v>
      </c>
      <c r="I146" s="3">
        <v>5.0</v>
      </c>
      <c r="J146" s="3">
        <v>2996.0</v>
      </c>
      <c r="K146" s="3">
        <v>3877.0</v>
      </c>
      <c r="L146" s="3">
        <v>145.0</v>
      </c>
      <c r="M146" s="3">
        <v>137.0</v>
      </c>
      <c r="N146" s="3">
        <v>88.0</v>
      </c>
      <c r="O146" s="3">
        <v>2951.0</v>
      </c>
      <c r="P146" s="3">
        <v>142.0</v>
      </c>
      <c r="Q146" s="3">
        <v>134.0</v>
      </c>
      <c r="R146" s="3">
        <v>155.0</v>
      </c>
      <c r="S146" s="3">
        <v>5.0</v>
      </c>
      <c r="T146" s="3">
        <v>436.0</v>
      </c>
      <c r="U146" s="3">
        <v>1.0</v>
      </c>
      <c r="V146" s="3">
        <v>2.0</v>
      </c>
      <c r="W146" s="3">
        <v>1.0</v>
      </c>
      <c r="X146" s="3">
        <v>2.0</v>
      </c>
      <c r="Y146" s="3">
        <v>0.0</v>
      </c>
      <c r="Z146" s="3">
        <v>0.0</v>
      </c>
      <c r="AA146" s="3" t="s">
        <v>51</v>
      </c>
      <c r="AB146" s="3">
        <v>6.0</v>
      </c>
      <c r="AC146" s="3">
        <v>10.0</v>
      </c>
      <c r="AD146" s="3">
        <v>4.0</v>
      </c>
      <c r="AE146" s="3">
        <v>7.0</v>
      </c>
      <c r="AF146" s="3">
        <v>2.0</v>
      </c>
      <c r="AG146" s="3">
        <v>3.0</v>
      </c>
      <c r="AH146" s="3">
        <v>3684.0</v>
      </c>
      <c r="AI146" s="3">
        <v>3950.0</v>
      </c>
      <c r="AJ146" s="3" t="str">
        <f t="array" ref="AJ146">IF(AA146="", "", XLOOKUP(AA146, 'Appendix B - Reason codes'!$A$4:$A$14, 'Appendix B - Reason codes'!$B$4:$B$14))</f>
        <v>Religious belief</v>
      </c>
    </row>
    <row r="147" ht="15.75" customHeight="1">
      <c r="A147" s="3" t="s">
        <v>151</v>
      </c>
      <c r="B147" s="3">
        <v>146.0</v>
      </c>
      <c r="C147" s="3" t="s">
        <v>37</v>
      </c>
      <c r="D147" s="3" t="s">
        <v>99</v>
      </c>
      <c r="E147" s="3" t="s">
        <v>110</v>
      </c>
      <c r="F147" s="3" t="s">
        <v>152</v>
      </c>
      <c r="G147" s="3">
        <v>19.0</v>
      </c>
      <c r="H147" s="3">
        <v>1225.0</v>
      </c>
      <c r="I147" s="3">
        <v>1.0</v>
      </c>
      <c r="J147" s="3">
        <v>1054.0</v>
      </c>
      <c r="K147" s="3">
        <v>1281.0</v>
      </c>
      <c r="L147" s="3">
        <v>41.0</v>
      </c>
      <c r="M147" s="3">
        <v>38.0</v>
      </c>
      <c r="N147" s="3">
        <v>29.0</v>
      </c>
      <c r="O147" s="3">
        <v>889.0</v>
      </c>
      <c r="P147" s="3">
        <v>22.0</v>
      </c>
      <c r="Q147" s="3">
        <v>15.0</v>
      </c>
      <c r="R147" s="3">
        <v>27.0</v>
      </c>
      <c r="S147" s="3">
        <v>26.0</v>
      </c>
      <c r="T147" s="3">
        <v>90.0</v>
      </c>
      <c r="U147" s="3">
        <v>1.0</v>
      </c>
      <c r="V147" s="3">
        <v>2.0</v>
      </c>
      <c r="W147" s="3">
        <v>1.0</v>
      </c>
      <c r="X147" s="3">
        <v>2.0</v>
      </c>
      <c r="Y147" s="3">
        <v>0.0</v>
      </c>
      <c r="Z147" s="3">
        <v>0.0</v>
      </c>
      <c r="AA147" s="3" t="s">
        <v>59</v>
      </c>
      <c r="AB147" s="3">
        <v>1.0</v>
      </c>
      <c r="AC147" s="3">
        <v>1.0</v>
      </c>
      <c r="AD147" s="3">
        <v>1.0</v>
      </c>
      <c r="AE147" s="3">
        <v>1.0</v>
      </c>
      <c r="AF147" s="3">
        <v>0.0</v>
      </c>
      <c r="AG147" s="3">
        <v>0.0</v>
      </c>
      <c r="AH147" s="3">
        <v>1250.0</v>
      </c>
      <c r="AI147" s="3">
        <v>1350.0</v>
      </c>
      <c r="AJ147" s="3" t="str">
        <f t="array" ref="AJ147">IF(AA147="", "", XLOOKUP(AA147, 'Appendix B - Reason codes'!$A$4:$A$14, 'Appendix B - Reason codes'!$B$4:$B$14))</f>
        <v>Concerned about adverse effect</v>
      </c>
    </row>
    <row r="148" ht="15.75" customHeight="1">
      <c r="A148" s="3" t="s">
        <v>151</v>
      </c>
      <c r="B148" s="3">
        <v>147.0</v>
      </c>
      <c r="C148" s="3" t="s">
        <v>37</v>
      </c>
      <c r="D148" s="3" t="s">
        <v>111</v>
      </c>
      <c r="E148" s="3" t="s">
        <v>112</v>
      </c>
      <c r="F148" s="3" t="s">
        <v>152</v>
      </c>
      <c r="G148" s="3">
        <v>20.0</v>
      </c>
      <c r="H148" s="3">
        <v>7371.0</v>
      </c>
      <c r="I148" s="3">
        <v>11.0</v>
      </c>
      <c r="J148" s="3">
        <v>6907.0</v>
      </c>
      <c r="K148" s="3">
        <v>7440.0</v>
      </c>
      <c r="L148" s="3">
        <v>186.0</v>
      </c>
      <c r="M148" s="3">
        <v>672.0</v>
      </c>
      <c r="N148" s="3">
        <v>94.0</v>
      </c>
      <c r="O148" s="3">
        <v>4473.0</v>
      </c>
      <c r="P148" s="3">
        <v>182.0</v>
      </c>
      <c r="Q148" s="3">
        <v>63.0</v>
      </c>
      <c r="R148" s="3">
        <v>220.0</v>
      </c>
      <c r="S148" s="3">
        <v>135.0</v>
      </c>
      <c r="T148" s="3">
        <v>600.0</v>
      </c>
      <c r="U148" s="3">
        <v>5.0</v>
      </c>
      <c r="V148" s="3">
        <v>10.0</v>
      </c>
      <c r="W148" s="3">
        <v>4.0</v>
      </c>
      <c r="X148" s="3">
        <v>8.0</v>
      </c>
      <c r="Y148" s="3">
        <v>1.0</v>
      </c>
      <c r="Z148" s="3">
        <v>2.0</v>
      </c>
      <c r="AA148" s="3" t="s">
        <v>43</v>
      </c>
      <c r="AB148" s="3">
        <v>6.0</v>
      </c>
      <c r="AC148" s="3">
        <v>10.0</v>
      </c>
      <c r="AD148" s="3">
        <v>4.0</v>
      </c>
      <c r="AE148" s="3">
        <v>7.0</v>
      </c>
      <c r="AF148" s="3">
        <v>2.0</v>
      </c>
      <c r="AG148" s="3">
        <v>3.0</v>
      </c>
      <c r="AH148" s="3">
        <v>6753.0</v>
      </c>
      <c r="AI148" s="3">
        <v>7600.0</v>
      </c>
      <c r="AJ148" s="3" t="str">
        <f t="array" ref="AJ148">IF(AA148="", "", XLOOKUP(AA148, 'Appendix B - Reason codes'!$A$4:$A$14, 'Appendix B - Reason codes'!$B$4:$B$14))</f>
        <v>Unhappy (with the team / programme)</v>
      </c>
    </row>
    <row r="149" ht="15.75" customHeight="1">
      <c r="A149" s="3" t="s">
        <v>151</v>
      </c>
      <c r="B149" s="3">
        <v>148.0</v>
      </c>
      <c r="C149" s="3" t="s">
        <v>37</v>
      </c>
      <c r="D149" s="3" t="s">
        <v>111</v>
      </c>
      <c r="E149" s="3" t="s">
        <v>113</v>
      </c>
      <c r="F149" s="3" t="s">
        <v>152</v>
      </c>
      <c r="G149" s="3">
        <v>49.0</v>
      </c>
      <c r="H149" s="3">
        <v>15201.0</v>
      </c>
      <c r="I149" s="3">
        <v>23.0</v>
      </c>
      <c r="J149" s="3">
        <v>13896.0</v>
      </c>
      <c r="K149" s="3">
        <v>15336.0</v>
      </c>
      <c r="L149" s="3">
        <v>377.0</v>
      </c>
      <c r="M149" s="3">
        <v>858.0</v>
      </c>
      <c r="N149" s="3">
        <v>433.0</v>
      </c>
      <c r="O149" s="3">
        <v>9710.0</v>
      </c>
      <c r="P149" s="3">
        <v>102.0</v>
      </c>
      <c r="Q149" s="3">
        <v>508.0</v>
      </c>
      <c r="R149" s="3">
        <v>169.0</v>
      </c>
      <c r="S149" s="3">
        <v>156.0</v>
      </c>
      <c r="T149" s="3">
        <v>935.0</v>
      </c>
      <c r="U149" s="3">
        <v>10.0</v>
      </c>
      <c r="V149" s="3">
        <v>15.0</v>
      </c>
      <c r="W149" s="3">
        <v>9.0</v>
      </c>
      <c r="X149" s="3">
        <v>13.0</v>
      </c>
      <c r="Y149" s="3">
        <v>1.0</v>
      </c>
      <c r="Z149" s="3">
        <v>2.0</v>
      </c>
      <c r="AA149" s="3" t="s">
        <v>59</v>
      </c>
      <c r="AB149" s="3">
        <v>11.0</v>
      </c>
      <c r="AC149" s="3">
        <v>14.0</v>
      </c>
      <c r="AD149" s="3">
        <v>8.0</v>
      </c>
      <c r="AE149" s="3">
        <v>10.0</v>
      </c>
      <c r="AF149" s="3">
        <v>3.0</v>
      </c>
      <c r="AG149" s="3">
        <v>4.0</v>
      </c>
      <c r="AH149" s="3">
        <v>13045.0</v>
      </c>
      <c r="AI149" s="3">
        <v>14400.0</v>
      </c>
      <c r="AJ149" s="3" t="str">
        <f t="array" ref="AJ149">IF(AA149="", "", XLOOKUP(AA149, 'Appendix B - Reason codes'!$A$4:$A$14, 'Appendix B - Reason codes'!$B$4:$B$14))</f>
        <v>Concerned about adverse effect</v>
      </c>
    </row>
    <row r="150" ht="15.75" customHeight="1">
      <c r="A150" s="3" t="s">
        <v>151</v>
      </c>
      <c r="B150" s="3">
        <v>149.0</v>
      </c>
      <c r="C150" s="3" t="s">
        <v>37</v>
      </c>
      <c r="D150" s="3" t="s">
        <v>111</v>
      </c>
      <c r="E150" s="3" t="s">
        <v>114</v>
      </c>
      <c r="F150" s="3" t="s">
        <v>152</v>
      </c>
      <c r="G150" s="3">
        <v>14.0</v>
      </c>
      <c r="H150" s="3">
        <v>1275.0</v>
      </c>
      <c r="I150" s="3">
        <v>1.0</v>
      </c>
      <c r="J150" s="3">
        <v>1109.0</v>
      </c>
      <c r="K150" s="3">
        <v>1331.0</v>
      </c>
      <c r="L150" s="3">
        <v>5.0</v>
      </c>
      <c r="M150" s="3">
        <v>48.0</v>
      </c>
      <c r="N150" s="3">
        <v>10.0</v>
      </c>
      <c r="O150" s="3">
        <v>725.0</v>
      </c>
      <c r="P150" s="3">
        <v>47.0</v>
      </c>
      <c r="Q150" s="3">
        <v>41.0</v>
      </c>
      <c r="R150" s="3">
        <v>38.0</v>
      </c>
      <c r="S150" s="3">
        <v>0.0</v>
      </c>
      <c r="T150" s="3">
        <v>126.0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/>
      <c r="AB150" s="3">
        <v>2.0</v>
      </c>
      <c r="AC150" s="3">
        <v>3.0</v>
      </c>
      <c r="AD150" s="3">
        <v>1.0</v>
      </c>
      <c r="AE150" s="3">
        <v>2.0</v>
      </c>
      <c r="AF150" s="3">
        <v>1.0</v>
      </c>
      <c r="AG150" s="3">
        <v>1.0</v>
      </c>
      <c r="AH150" s="3">
        <v>1127.0</v>
      </c>
      <c r="AI150" s="3">
        <v>1250.0</v>
      </c>
      <c r="AJ150" s="3" t="str">
        <f t="array" ref="AJ150">IF(AA150="", "", XLOOKUP(AA150, 'Appendix B - Reason codes'!$A$4:$A$14, 'Appendix B - Reason codes'!$B$4:$B$14))</f>
        <v/>
      </c>
    </row>
    <row r="151" ht="15.75" customHeight="1">
      <c r="A151" s="3" t="s">
        <v>151</v>
      </c>
      <c r="B151" s="3">
        <v>150.0</v>
      </c>
      <c r="C151" s="3" t="s">
        <v>37</v>
      </c>
      <c r="D151" s="3" t="s">
        <v>111</v>
      </c>
      <c r="E151" s="3" t="s">
        <v>115</v>
      </c>
      <c r="F151" s="3" t="s">
        <v>152</v>
      </c>
      <c r="G151" s="3">
        <v>40.0</v>
      </c>
      <c r="H151" s="3">
        <v>3832.0</v>
      </c>
      <c r="I151" s="3">
        <v>5.0</v>
      </c>
      <c r="J151" s="3">
        <v>3508.0</v>
      </c>
      <c r="K151" s="3">
        <v>4212.0</v>
      </c>
      <c r="L151" s="3">
        <v>9.0</v>
      </c>
      <c r="M151" s="3">
        <v>232.0</v>
      </c>
      <c r="N151" s="3">
        <v>64.0</v>
      </c>
      <c r="O151" s="3">
        <v>2536.0</v>
      </c>
      <c r="P151" s="3">
        <v>37.0</v>
      </c>
      <c r="Q151" s="3">
        <v>106.0</v>
      </c>
      <c r="R151" s="3">
        <v>44.0</v>
      </c>
      <c r="S151" s="3">
        <v>19.0</v>
      </c>
      <c r="T151" s="3">
        <v>206.0</v>
      </c>
      <c r="U151" s="3">
        <v>6.0</v>
      </c>
      <c r="V151" s="3">
        <v>11.0</v>
      </c>
      <c r="W151" s="3">
        <v>6.0</v>
      </c>
      <c r="X151" s="3">
        <v>10.0</v>
      </c>
      <c r="Y151" s="3">
        <v>0.0</v>
      </c>
      <c r="Z151" s="3">
        <v>1.0</v>
      </c>
      <c r="AA151" s="3" t="s">
        <v>51</v>
      </c>
      <c r="AB151" s="3">
        <v>7.0</v>
      </c>
      <c r="AC151" s="3">
        <v>11.0</v>
      </c>
      <c r="AD151" s="3">
        <v>7.0</v>
      </c>
      <c r="AE151" s="3">
        <v>10.0</v>
      </c>
      <c r="AF151" s="3">
        <v>0.0</v>
      </c>
      <c r="AG151" s="3">
        <v>1.0</v>
      </c>
      <c r="AH151" s="3">
        <v>3345.0</v>
      </c>
      <c r="AI151" s="3">
        <v>3750.0</v>
      </c>
      <c r="AJ151" s="3" t="str">
        <f t="array" ref="AJ151">IF(AA151="", "", XLOOKUP(AA151, 'Appendix B - Reason codes'!$A$4:$A$14, 'Appendix B - Reason codes'!$B$4:$B$14))</f>
        <v>Religious belief</v>
      </c>
    </row>
    <row r="152" ht="15.75" customHeight="1">
      <c r="A152" s="3" t="s">
        <v>151</v>
      </c>
      <c r="B152" s="3">
        <v>151.0</v>
      </c>
      <c r="C152" s="3" t="s">
        <v>37</v>
      </c>
      <c r="D152" s="3" t="s">
        <v>116</v>
      </c>
      <c r="E152" s="3" t="s">
        <v>117</v>
      </c>
      <c r="F152" s="3" t="s">
        <v>152</v>
      </c>
      <c r="G152" s="3">
        <v>18.0</v>
      </c>
      <c r="H152" s="3">
        <v>5677.0</v>
      </c>
      <c r="I152" s="3">
        <v>8.0</v>
      </c>
      <c r="J152" s="3">
        <v>4620.0</v>
      </c>
      <c r="K152" s="3">
        <v>5912.0</v>
      </c>
      <c r="L152" s="3">
        <v>1.0</v>
      </c>
      <c r="M152" s="3">
        <v>558.0</v>
      </c>
      <c r="N152" s="3">
        <v>66.0</v>
      </c>
      <c r="O152" s="3">
        <v>3989.0</v>
      </c>
      <c r="P152" s="3">
        <v>190.0</v>
      </c>
      <c r="Q152" s="3">
        <v>59.0</v>
      </c>
      <c r="R152" s="3">
        <v>199.0</v>
      </c>
      <c r="S152" s="3">
        <v>53.0</v>
      </c>
      <c r="T152" s="3">
        <v>501.0</v>
      </c>
      <c r="U152" s="3">
        <v>8.0</v>
      </c>
      <c r="V152" s="3">
        <v>14.0</v>
      </c>
      <c r="W152" s="3">
        <v>7.0</v>
      </c>
      <c r="X152" s="3">
        <v>12.0</v>
      </c>
      <c r="Y152" s="3">
        <v>1.0</v>
      </c>
      <c r="Z152" s="3">
        <v>2.0</v>
      </c>
      <c r="AA152" s="3" t="s">
        <v>43</v>
      </c>
      <c r="AB152" s="3">
        <v>7.0</v>
      </c>
      <c r="AC152" s="3">
        <v>11.0</v>
      </c>
      <c r="AD152" s="3">
        <v>5.0</v>
      </c>
      <c r="AE152" s="3">
        <v>8.0</v>
      </c>
      <c r="AF152" s="3">
        <v>2.0</v>
      </c>
      <c r="AG152" s="3">
        <v>3.0</v>
      </c>
      <c r="AH152" s="3">
        <v>5865.0</v>
      </c>
      <c r="AI152" s="3">
        <v>6300.0</v>
      </c>
      <c r="AJ152" s="3" t="str">
        <f t="array" ref="AJ152">IF(AA152="", "", XLOOKUP(AA152, 'Appendix B - Reason codes'!$A$4:$A$14, 'Appendix B - Reason codes'!$B$4:$B$14))</f>
        <v>Unhappy (with the team / programme)</v>
      </c>
    </row>
    <row r="153" ht="15.75" customHeight="1">
      <c r="A153" s="3" t="s">
        <v>151</v>
      </c>
      <c r="B153" s="3">
        <v>152.0</v>
      </c>
      <c r="C153" s="3" t="s">
        <v>37</v>
      </c>
      <c r="D153" s="3" t="s">
        <v>116</v>
      </c>
      <c r="E153" s="3" t="s">
        <v>118</v>
      </c>
      <c r="F153" s="3" t="s">
        <v>152</v>
      </c>
      <c r="G153" s="3">
        <v>29.0</v>
      </c>
      <c r="H153" s="3">
        <v>9007.0</v>
      </c>
      <c r="I153" s="3">
        <v>13.0</v>
      </c>
      <c r="J153" s="3">
        <v>8398.0</v>
      </c>
      <c r="K153" s="3">
        <v>9766.0</v>
      </c>
      <c r="L153" s="3">
        <v>18.0</v>
      </c>
      <c r="M153" s="3">
        <v>200.0</v>
      </c>
      <c r="N153" s="3">
        <v>373.0</v>
      </c>
      <c r="O153" s="3">
        <v>6913.0</v>
      </c>
      <c r="P153" s="3">
        <v>95.0</v>
      </c>
      <c r="Q153" s="3">
        <v>201.0</v>
      </c>
      <c r="R153" s="3">
        <v>277.0</v>
      </c>
      <c r="S153" s="3">
        <v>240.0</v>
      </c>
      <c r="T153" s="3">
        <v>813.0</v>
      </c>
      <c r="U153" s="3">
        <v>8.0</v>
      </c>
      <c r="V153" s="3">
        <v>15.0</v>
      </c>
      <c r="W153" s="3">
        <v>7.0</v>
      </c>
      <c r="X153" s="3">
        <v>12.0</v>
      </c>
      <c r="Y153" s="3">
        <v>1.0</v>
      </c>
      <c r="Z153" s="3">
        <v>3.0</v>
      </c>
      <c r="AA153" s="3" t="s">
        <v>78</v>
      </c>
      <c r="AB153" s="3">
        <v>13.0</v>
      </c>
      <c r="AC153" s="3">
        <v>19.0</v>
      </c>
      <c r="AD153" s="3">
        <v>11.0</v>
      </c>
      <c r="AE153" s="3">
        <v>17.0</v>
      </c>
      <c r="AF153" s="3">
        <v>2.0</v>
      </c>
      <c r="AG153" s="3">
        <v>2.0</v>
      </c>
      <c r="AH153" s="3">
        <v>9278.0</v>
      </c>
      <c r="AI153" s="3">
        <v>9950.0</v>
      </c>
      <c r="AJ153" s="3" t="str">
        <f t="array" ref="AJ153">IF(AA153="", "", XLOOKUP(AA153, 'Appendix B - Reason codes'!$A$4:$A$14, 'Appendix B - Reason codes'!$B$4:$B$14))</f>
        <v>Child sick</v>
      </c>
    </row>
    <row r="154" ht="15.75" customHeight="1">
      <c r="A154" s="3" t="s">
        <v>151</v>
      </c>
      <c r="B154" s="3">
        <v>153.0</v>
      </c>
      <c r="C154" s="3" t="s">
        <v>37</v>
      </c>
      <c r="D154" s="3" t="s">
        <v>116</v>
      </c>
      <c r="E154" s="3" t="s">
        <v>120</v>
      </c>
      <c r="F154" s="3" t="s">
        <v>152</v>
      </c>
      <c r="G154" s="3">
        <v>47.0</v>
      </c>
      <c r="H154" s="3">
        <v>5290.0</v>
      </c>
      <c r="I154" s="3">
        <v>8.0</v>
      </c>
      <c r="J154" s="3">
        <v>3891.0</v>
      </c>
      <c r="K154" s="3">
        <v>5691.0</v>
      </c>
      <c r="L154" s="3">
        <v>152.0</v>
      </c>
      <c r="M154" s="3">
        <v>137.0</v>
      </c>
      <c r="N154" s="3">
        <v>257.0</v>
      </c>
      <c r="O154" s="3">
        <v>3866.0</v>
      </c>
      <c r="P154" s="3">
        <v>116.0</v>
      </c>
      <c r="Q154" s="3">
        <v>153.0</v>
      </c>
      <c r="R154" s="3">
        <v>71.0</v>
      </c>
      <c r="S154" s="3">
        <v>6.0</v>
      </c>
      <c r="T154" s="3">
        <v>346.0</v>
      </c>
      <c r="U154" s="3">
        <v>1.0</v>
      </c>
      <c r="V154" s="3">
        <v>2.0</v>
      </c>
      <c r="W154" s="3">
        <v>1.0</v>
      </c>
      <c r="X154" s="3">
        <v>2.0</v>
      </c>
      <c r="Y154" s="3">
        <v>0.0</v>
      </c>
      <c r="Z154" s="3">
        <v>0.0</v>
      </c>
      <c r="AA154" s="3" t="s">
        <v>61</v>
      </c>
      <c r="AB154" s="3">
        <v>2.0</v>
      </c>
      <c r="AC154" s="3">
        <v>3.0</v>
      </c>
      <c r="AD154" s="3">
        <v>2.0</v>
      </c>
      <c r="AE154" s="3">
        <v>3.0</v>
      </c>
      <c r="AF154" s="3">
        <v>0.0</v>
      </c>
      <c r="AG154" s="3">
        <v>0.0</v>
      </c>
      <c r="AH154" s="3">
        <v>5353.0</v>
      </c>
      <c r="AI154" s="3">
        <v>5850.0</v>
      </c>
      <c r="AJ154" s="3" t="str">
        <f t="array" ref="AJ154">IF(AA154="", "", XLOOKUP(AA154, 'Appendix B - Reason codes'!$A$4:$A$14, 'Appendix B - Reason codes'!$B$4:$B$14))</f>
        <v>No reason given</v>
      </c>
    </row>
    <row r="155" ht="15.75" customHeight="1">
      <c r="A155" s="3" t="s">
        <v>151</v>
      </c>
      <c r="B155" s="3">
        <v>154.0</v>
      </c>
      <c r="C155" s="3" t="s">
        <v>37</v>
      </c>
      <c r="D155" s="3" t="s">
        <v>116</v>
      </c>
      <c r="E155" s="3" t="s">
        <v>121</v>
      </c>
      <c r="F155" s="3" t="s">
        <v>152</v>
      </c>
      <c r="G155" s="3">
        <v>53.0</v>
      </c>
      <c r="H155" s="3">
        <v>28300.0</v>
      </c>
      <c r="I155" s="3">
        <v>43.0</v>
      </c>
      <c r="J155" s="3">
        <v>26122.0</v>
      </c>
      <c r="K155" s="3">
        <v>31174.0</v>
      </c>
      <c r="L155" s="3">
        <v>1086.0</v>
      </c>
      <c r="M155" s="3">
        <v>143.0</v>
      </c>
      <c r="N155" s="3">
        <v>746.0</v>
      </c>
      <c r="O155" s="3">
        <v>18152.0</v>
      </c>
      <c r="P155" s="3">
        <v>1199.0</v>
      </c>
      <c r="Q155" s="3">
        <v>344.0</v>
      </c>
      <c r="R155" s="3">
        <v>173.0</v>
      </c>
      <c r="S155" s="3">
        <v>394.0</v>
      </c>
      <c r="T155" s="3">
        <v>2110.0</v>
      </c>
      <c r="U155" s="3">
        <v>27.0</v>
      </c>
      <c r="V155" s="3">
        <v>59.0</v>
      </c>
      <c r="W155" s="3">
        <v>23.0</v>
      </c>
      <c r="X155" s="3">
        <v>50.0</v>
      </c>
      <c r="Y155" s="3">
        <v>4.0</v>
      </c>
      <c r="Z155" s="3">
        <v>9.0</v>
      </c>
      <c r="AA155" s="3" t="s">
        <v>61</v>
      </c>
      <c r="AB155" s="3">
        <v>25.0</v>
      </c>
      <c r="AC155" s="3">
        <v>35.0</v>
      </c>
      <c r="AD155" s="3">
        <v>20.0</v>
      </c>
      <c r="AE155" s="3">
        <v>28.0</v>
      </c>
      <c r="AF155" s="3">
        <v>5.0</v>
      </c>
      <c r="AG155" s="3">
        <v>7.0</v>
      </c>
      <c r="AH155" s="3">
        <v>28057.0</v>
      </c>
      <c r="AI155" s="3">
        <v>30400.0</v>
      </c>
      <c r="AJ155" s="3" t="str">
        <f t="array" ref="AJ155">IF(AA155="", "", XLOOKUP(AA155, 'Appendix B - Reason codes'!$A$4:$A$14, 'Appendix B - Reason codes'!$B$4:$B$14))</f>
        <v>No reason given</v>
      </c>
    </row>
    <row r="156" ht="15.75" customHeight="1">
      <c r="A156" s="3" t="s">
        <v>151</v>
      </c>
      <c r="B156" s="3">
        <v>155.0</v>
      </c>
      <c r="C156" s="3" t="s">
        <v>37</v>
      </c>
      <c r="D156" s="3" t="s">
        <v>116</v>
      </c>
      <c r="E156" s="3" t="s">
        <v>122</v>
      </c>
      <c r="F156" s="3" t="s">
        <v>152</v>
      </c>
      <c r="G156" s="3">
        <v>36.0</v>
      </c>
      <c r="H156" s="3">
        <v>2187.0</v>
      </c>
      <c r="I156" s="3">
        <v>3.0</v>
      </c>
      <c r="J156" s="3">
        <v>1845.0</v>
      </c>
      <c r="K156" s="3">
        <v>2326.0</v>
      </c>
      <c r="L156" s="3">
        <v>11.0</v>
      </c>
      <c r="M156" s="3">
        <v>78.0</v>
      </c>
      <c r="N156" s="3">
        <v>50.0</v>
      </c>
      <c r="O156" s="3">
        <v>1197.0</v>
      </c>
      <c r="P156" s="3">
        <v>87.0</v>
      </c>
      <c r="Q156" s="3">
        <v>27.0</v>
      </c>
      <c r="R156" s="3">
        <v>21.0</v>
      </c>
      <c r="S156" s="3">
        <v>57.0</v>
      </c>
      <c r="T156" s="3">
        <v>192.0</v>
      </c>
      <c r="U156" s="3">
        <v>3.0</v>
      </c>
      <c r="V156" s="3">
        <v>6.0</v>
      </c>
      <c r="W156" s="3">
        <v>3.0</v>
      </c>
      <c r="X156" s="3">
        <v>5.0</v>
      </c>
      <c r="Y156" s="3">
        <v>0.0</v>
      </c>
      <c r="Z156" s="3">
        <v>1.0</v>
      </c>
      <c r="AA156" s="3" t="s">
        <v>41</v>
      </c>
      <c r="AB156" s="3">
        <v>3.0</v>
      </c>
      <c r="AC156" s="3">
        <v>5.0</v>
      </c>
      <c r="AD156" s="3">
        <v>2.0</v>
      </c>
      <c r="AE156" s="3">
        <v>4.0</v>
      </c>
      <c r="AF156" s="3">
        <v>1.0</v>
      </c>
      <c r="AG156" s="3">
        <v>1.0</v>
      </c>
      <c r="AH156" s="3">
        <v>2111.0</v>
      </c>
      <c r="AI156" s="3">
        <v>2250.0</v>
      </c>
      <c r="AJ156" s="3" t="str">
        <f t="array" ref="AJ156">IF(AA156="", "", XLOOKUP(AA156, 'Appendix B - Reason codes'!$A$4:$A$14, 'Appendix B - Reason codes'!$B$4:$B$14))</f>
        <v>Fatigue from many rounds</v>
      </c>
    </row>
    <row r="157" ht="15.75" customHeight="1">
      <c r="A157" s="3" t="s">
        <v>151</v>
      </c>
      <c r="B157" s="3">
        <v>156.0</v>
      </c>
      <c r="C157" s="3" t="s">
        <v>37</v>
      </c>
      <c r="D157" s="3" t="s">
        <v>116</v>
      </c>
      <c r="E157" s="3" t="s">
        <v>123</v>
      </c>
      <c r="F157" s="3" t="s">
        <v>152</v>
      </c>
      <c r="G157" s="3">
        <v>37.0</v>
      </c>
      <c r="H157" s="3">
        <v>11769.0</v>
      </c>
      <c r="I157" s="3">
        <v>18.0</v>
      </c>
      <c r="J157" s="3">
        <v>10587.0</v>
      </c>
      <c r="K157" s="3">
        <v>11804.0</v>
      </c>
      <c r="L157" s="3">
        <v>459.0</v>
      </c>
      <c r="M157" s="3">
        <v>267.0</v>
      </c>
      <c r="N157" s="3">
        <v>457.0</v>
      </c>
      <c r="O157" s="3">
        <v>6907.0</v>
      </c>
      <c r="P157" s="3">
        <v>30.0</v>
      </c>
      <c r="Q157" s="3">
        <v>278.0</v>
      </c>
      <c r="R157" s="3">
        <v>286.0</v>
      </c>
      <c r="S157" s="3">
        <v>229.0</v>
      </c>
      <c r="T157" s="3">
        <v>823.0</v>
      </c>
      <c r="U157" s="3">
        <v>8.0</v>
      </c>
      <c r="V157" s="3">
        <v>16.0</v>
      </c>
      <c r="W157" s="3">
        <v>7.0</v>
      </c>
      <c r="X157" s="3">
        <v>13.0</v>
      </c>
      <c r="Y157" s="3">
        <v>1.0</v>
      </c>
      <c r="Z157" s="3">
        <v>3.0</v>
      </c>
      <c r="AA157" s="3" t="s">
        <v>73</v>
      </c>
      <c r="AB157" s="3">
        <v>14.0</v>
      </c>
      <c r="AC157" s="3">
        <v>21.0</v>
      </c>
      <c r="AD157" s="3">
        <v>13.0</v>
      </c>
      <c r="AE157" s="3">
        <v>20.0</v>
      </c>
      <c r="AF157" s="3">
        <v>1.0</v>
      </c>
      <c r="AG157" s="3">
        <v>1.0</v>
      </c>
      <c r="AH157" s="3">
        <v>11824.0</v>
      </c>
      <c r="AI157" s="3">
        <v>12650.0</v>
      </c>
      <c r="AJ157" s="3" t="str">
        <f t="array" ref="AJ157">IF(AA157="", "", XLOOKUP(AA157, 'Appendix B - Reason codes'!$A$4:$A$14, 'Appendix B - Reason codes'!$B$4:$B$14))</f>
        <v>Has an alternative to the vaccine</v>
      </c>
    </row>
    <row r="158" ht="15.75" customHeight="1">
      <c r="A158" s="3" t="s">
        <v>151</v>
      </c>
      <c r="B158" s="3">
        <v>157.0</v>
      </c>
      <c r="C158" s="3" t="s">
        <v>37</v>
      </c>
      <c r="D158" s="3" t="s">
        <v>116</v>
      </c>
      <c r="E158" s="3" t="s">
        <v>124</v>
      </c>
      <c r="F158" s="3" t="s">
        <v>152</v>
      </c>
      <c r="G158" s="3">
        <v>19.0</v>
      </c>
      <c r="H158" s="3">
        <v>4569.0</v>
      </c>
      <c r="I158" s="3">
        <v>7.0</v>
      </c>
      <c r="J158" s="3">
        <v>4088.0</v>
      </c>
      <c r="K158" s="3">
        <v>4805.0</v>
      </c>
      <c r="L158" s="3">
        <v>13.0</v>
      </c>
      <c r="M158" s="3">
        <v>316.0</v>
      </c>
      <c r="N158" s="3">
        <v>106.0</v>
      </c>
      <c r="O158" s="3">
        <v>2341.0</v>
      </c>
      <c r="P158" s="3">
        <v>69.0</v>
      </c>
      <c r="Q158" s="3">
        <v>14.0</v>
      </c>
      <c r="R158" s="3">
        <v>160.0</v>
      </c>
      <c r="S158" s="3">
        <v>64.0</v>
      </c>
      <c r="T158" s="3">
        <v>307.0</v>
      </c>
      <c r="U158" s="3">
        <v>6.0</v>
      </c>
      <c r="V158" s="3">
        <v>12.0</v>
      </c>
      <c r="W158" s="3">
        <v>5.0</v>
      </c>
      <c r="X158" s="3">
        <v>11.0</v>
      </c>
      <c r="Y158" s="3">
        <v>1.0</v>
      </c>
      <c r="Z158" s="3">
        <v>1.0</v>
      </c>
      <c r="AA158" s="3" t="s">
        <v>41</v>
      </c>
      <c r="AB158" s="3">
        <v>4.0</v>
      </c>
      <c r="AC158" s="3">
        <v>6.0</v>
      </c>
      <c r="AD158" s="3">
        <v>3.0</v>
      </c>
      <c r="AE158" s="3">
        <v>4.0</v>
      </c>
      <c r="AF158" s="3">
        <v>1.0</v>
      </c>
      <c r="AG158" s="3">
        <v>2.0</v>
      </c>
      <c r="AH158" s="3">
        <v>4235.0</v>
      </c>
      <c r="AI158" s="3">
        <v>4650.0</v>
      </c>
      <c r="AJ158" s="3" t="str">
        <f t="array" ref="AJ158">IF(AA158="", "", XLOOKUP(AA158, 'Appendix B - Reason codes'!$A$4:$A$14, 'Appendix B - Reason codes'!$B$4:$B$14))</f>
        <v>Fatigue from many rounds</v>
      </c>
    </row>
    <row r="159" ht="15.75" customHeight="1">
      <c r="A159" s="3" t="s">
        <v>151</v>
      </c>
      <c r="B159" s="3">
        <v>158.0</v>
      </c>
      <c r="C159" s="3" t="s">
        <v>37</v>
      </c>
      <c r="D159" s="3" t="s">
        <v>116</v>
      </c>
      <c r="E159" s="3" t="s">
        <v>125</v>
      </c>
      <c r="F159" s="3" t="s">
        <v>152</v>
      </c>
      <c r="G159" s="3">
        <v>40.0</v>
      </c>
      <c r="H159" s="3">
        <v>14909.0</v>
      </c>
      <c r="I159" s="3">
        <v>22.0</v>
      </c>
      <c r="J159" s="3">
        <v>12988.0</v>
      </c>
      <c r="K159" s="3">
        <v>16471.0</v>
      </c>
      <c r="L159" s="3">
        <v>539.0</v>
      </c>
      <c r="M159" s="3">
        <v>749.0</v>
      </c>
      <c r="N159" s="3">
        <v>672.0</v>
      </c>
      <c r="O159" s="3">
        <v>11032.0</v>
      </c>
      <c r="P159" s="3">
        <v>205.0</v>
      </c>
      <c r="Q159" s="3">
        <v>356.0</v>
      </c>
      <c r="R159" s="3">
        <v>269.0</v>
      </c>
      <c r="S159" s="3">
        <v>380.0</v>
      </c>
      <c r="T159" s="3">
        <v>1210.0</v>
      </c>
      <c r="U159" s="3">
        <v>9.0</v>
      </c>
      <c r="V159" s="3">
        <v>16.0</v>
      </c>
      <c r="W159" s="3">
        <v>8.0</v>
      </c>
      <c r="X159" s="3">
        <v>15.0</v>
      </c>
      <c r="Y159" s="3">
        <v>1.0</v>
      </c>
      <c r="Z159" s="3">
        <v>1.0</v>
      </c>
      <c r="AA159" s="3" t="s">
        <v>51</v>
      </c>
      <c r="AB159" s="3">
        <v>19.0</v>
      </c>
      <c r="AC159" s="3">
        <v>31.0</v>
      </c>
      <c r="AD159" s="3">
        <v>16.0</v>
      </c>
      <c r="AE159" s="3">
        <v>26.0</v>
      </c>
      <c r="AF159" s="3">
        <v>3.0</v>
      </c>
      <c r="AG159" s="3">
        <v>5.0</v>
      </c>
      <c r="AH159" s="3">
        <v>15676.0</v>
      </c>
      <c r="AI159" s="3">
        <v>17050.0</v>
      </c>
      <c r="AJ159" s="3" t="str">
        <f t="array" ref="AJ159">IF(AA159="", "", XLOOKUP(AA159, 'Appendix B - Reason codes'!$A$4:$A$14, 'Appendix B - Reason codes'!$B$4:$B$14))</f>
        <v>Religious belief</v>
      </c>
    </row>
    <row r="160" ht="15.75" customHeight="1">
      <c r="A160" s="3" t="s">
        <v>151</v>
      </c>
      <c r="B160" s="3">
        <v>159.0</v>
      </c>
      <c r="C160" s="3" t="s">
        <v>37</v>
      </c>
      <c r="D160" s="3" t="s">
        <v>116</v>
      </c>
      <c r="E160" s="3" t="s">
        <v>126</v>
      </c>
      <c r="F160" s="3" t="s">
        <v>152</v>
      </c>
      <c r="G160" s="3">
        <v>36.0</v>
      </c>
      <c r="H160" s="3">
        <v>3929.0</v>
      </c>
      <c r="I160" s="3">
        <v>6.0</v>
      </c>
      <c r="J160" s="3">
        <v>2776.0</v>
      </c>
      <c r="K160" s="3">
        <v>4037.0</v>
      </c>
      <c r="L160" s="3">
        <v>1.0</v>
      </c>
      <c r="M160" s="3">
        <v>301.0</v>
      </c>
      <c r="N160" s="3">
        <v>83.0</v>
      </c>
      <c r="O160" s="3">
        <v>2496.0</v>
      </c>
      <c r="P160" s="3">
        <v>94.0</v>
      </c>
      <c r="Q160" s="3">
        <v>146.0</v>
      </c>
      <c r="R160" s="3">
        <v>166.0</v>
      </c>
      <c r="S160" s="3">
        <v>116.0</v>
      </c>
      <c r="T160" s="3">
        <v>522.0</v>
      </c>
      <c r="U160" s="3">
        <v>3.0</v>
      </c>
      <c r="V160" s="3">
        <v>5.0</v>
      </c>
      <c r="W160" s="3">
        <v>3.0</v>
      </c>
      <c r="X160" s="3">
        <v>5.0</v>
      </c>
      <c r="Y160" s="3">
        <v>0.0</v>
      </c>
      <c r="Z160" s="3">
        <v>0.0</v>
      </c>
      <c r="AA160" s="3" t="s">
        <v>51</v>
      </c>
      <c r="AB160" s="3">
        <v>6.0</v>
      </c>
      <c r="AC160" s="3">
        <v>12.0</v>
      </c>
      <c r="AD160" s="3">
        <v>5.0</v>
      </c>
      <c r="AE160" s="3">
        <v>10.0</v>
      </c>
      <c r="AF160" s="3">
        <v>1.0</v>
      </c>
      <c r="AG160" s="3">
        <v>2.0</v>
      </c>
      <c r="AH160" s="3">
        <v>4165.0</v>
      </c>
      <c r="AI160" s="3">
        <v>4600.0</v>
      </c>
      <c r="AJ160" s="3" t="str">
        <f t="array" ref="AJ160">IF(AA160="", "", XLOOKUP(AA160, 'Appendix B - Reason codes'!$A$4:$A$14, 'Appendix B - Reason codes'!$B$4:$B$14))</f>
        <v>Religious belief</v>
      </c>
    </row>
    <row r="161" ht="15.75" customHeight="1">
      <c r="A161" s="3" t="s">
        <v>151</v>
      </c>
      <c r="B161" s="3">
        <v>160.0</v>
      </c>
      <c r="C161" s="3" t="s">
        <v>37</v>
      </c>
      <c r="D161" s="3" t="s">
        <v>127</v>
      </c>
      <c r="E161" s="3" t="s">
        <v>128</v>
      </c>
      <c r="F161" s="3" t="s">
        <v>152</v>
      </c>
      <c r="G161" s="3">
        <v>27.0</v>
      </c>
      <c r="H161" s="3">
        <v>3886.0</v>
      </c>
      <c r="I161" s="3">
        <v>5.0</v>
      </c>
      <c r="J161" s="3">
        <v>3253.0</v>
      </c>
      <c r="K161" s="3">
        <v>4043.0</v>
      </c>
      <c r="L161" s="3">
        <v>66.0</v>
      </c>
      <c r="M161" s="3">
        <v>305.0</v>
      </c>
      <c r="N161" s="3">
        <v>41.0</v>
      </c>
      <c r="O161" s="3">
        <v>3176.0</v>
      </c>
      <c r="P161" s="3">
        <v>183.0</v>
      </c>
      <c r="Q161" s="3">
        <v>154.0</v>
      </c>
      <c r="R161" s="3">
        <v>123.0</v>
      </c>
      <c r="S161" s="3">
        <v>71.0</v>
      </c>
      <c r="T161" s="3">
        <v>531.0</v>
      </c>
      <c r="U161" s="3">
        <v>2.0</v>
      </c>
      <c r="V161" s="3">
        <v>3.0</v>
      </c>
      <c r="W161" s="3">
        <v>2.0</v>
      </c>
      <c r="X161" s="3">
        <v>3.0</v>
      </c>
      <c r="Y161" s="3">
        <v>0.0</v>
      </c>
      <c r="Z161" s="3">
        <v>0.0</v>
      </c>
      <c r="AA161" s="3" t="s">
        <v>61</v>
      </c>
      <c r="AB161" s="3">
        <v>4.0</v>
      </c>
      <c r="AC161" s="3">
        <v>8.0</v>
      </c>
      <c r="AD161" s="3">
        <v>3.0</v>
      </c>
      <c r="AE161" s="3">
        <v>7.0</v>
      </c>
      <c r="AF161" s="3">
        <v>1.0</v>
      </c>
      <c r="AG161" s="3">
        <v>1.0</v>
      </c>
      <c r="AH161" s="3">
        <v>3962.0</v>
      </c>
      <c r="AI161" s="3">
        <v>4350.0</v>
      </c>
      <c r="AJ161" s="3" t="str">
        <f t="array" ref="AJ161">IF(AA161="", "", XLOOKUP(AA161, 'Appendix B - Reason codes'!$A$4:$A$14, 'Appendix B - Reason codes'!$B$4:$B$14))</f>
        <v>No reason given</v>
      </c>
    </row>
    <row r="162" ht="15.75" customHeight="1">
      <c r="A162" s="3" t="s">
        <v>151</v>
      </c>
      <c r="B162" s="3">
        <v>161.0</v>
      </c>
      <c r="C162" s="3" t="s">
        <v>37</v>
      </c>
      <c r="D162" s="3" t="s">
        <v>127</v>
      </c>
      <c r="E162" s="3" t="s">
        <v>129</v>
      </c>
      <c r="F162" s="3" t="s">
        <v>152</v>
      </c>
      <c r="G162" s="3">
        <v>37.0</v>
      </c>
      <c r="H162" s="3">
        <v>3672.0</v>
      </c>
      <c r="I162" s="3">
        <v>5.0</v>
      </c>
      <c r="J162" s="3">
        <v>3168.0</v>
      </c>
      <c r="K162" s="3">
        <v>3929.0</v>
      </c>
      <c r="L162" s="3">
        <v>35.0</v>
      </c>
      <c r="M162" s="3">
        <v>199.0</v>
      </c>
      <c r="N162" s="3">
        <v>64.0</v>
      </c>
      <c r="O162" s="3">
        <v>2946.0</v>
      </c>
      <c r="P162" s="3">
        <v>173.0</v>
      </c>
      <c r="Q162" s="3">
        <v>100.0</v>
      </c>
      <c r="R162" s="3">
        <v>60.0</v>
      </c>
      <c r="S162" s="3">
        <v>77.0</v>
      </c>
      <c r="T162" s="3">
        <v>410.0</v>
      </c>
      <c r="U162" s="3">
        <v>2.0</v>
      </c>
      <c r="V162" s="3">
        <v>3.0</v>
      </c>
      <c r="W162" s="3">
        <v>2.0</v>
      </c>
      <c r="X162" s="3">
        <v>2.0</v>
      </c>
      <c r="Y162" s="3">
        <v>0.0</v>
      </c>
      <c r="Z162" s="3">
        <v>1.0</v>
      </c>
      <c r="AA162" s="3" t="s">
        <v>73</v>
      </c>
      <c r="AB162" s="3">
        <v>9.0</v>
      </c>
      <c r="AC162" s="3">
        <v>14.0</v>
      </c>
      <c r="AD162" s="3">
        <v>7.0</v>
      </c>
      <c r="AE162" s="3">
        <v>11.0</v>
      </c>
      <c r="AF162" s="3">
        <v>2.0</v>
      </c>
      <c r="AG162" s="3">
        <v>3.0</v>
      </c>
      <c r="AH162" s="3">
        <v>3889.0</v>
      </c>
      <c r="AI162" s="3">
        <v>4200.0</v>
      </c>
      <c r="AJ162" s="3" t="str">
        <f t="array" ref="AJ162">IF(AA162="", "", XLOOKUP(AA162, 'Appendix B - Reason codes'!$A$4:$A$14, 'Appendix B - Reason codes'!$B$4:$B$14))</f>
        <v>Has an alternative to the vaccine</v>
      </c>
    </row>
    <row r="163" ht="15.75" customHeight="1">
      <c r="A163" s="3" t="s">
        <v>151</v>
      </c>
      <c r="B163" s="3">
        <v>162.0</v>
      </c>
      <c r="C163" s="3" t="s">
        <v>37</v>
      </c>
      <c r="D163" s="3" t="s">
        <v>127</v>
      </c>
      <c r="E163" s="3" t="s">
        <v>130</v>
      </c>
      <c r="F163" s="3" t="s">
        <v>152</v>
      </c>
      <c r="G163" s="3">
        <v>15.0</v>
      </c>
      <c r="H163" s="3">
        <v>3699.0</v>
      </c>
      <c r="I163" s="3">
        <v>5.0</v>
      </c>
      <c r="J163" s="3">
        <v>3282.0</v>
      </c>
      <c r="K163" s="3">
        <v>3876.0</v>
      </c>
      <c r="L163" s="3">
        <v>35.0</v>
      </c>
      <c r="M163" s="3">
        <v>297.0</v>
      </c>
      <c r="N163" s="3">
        <v>84.0</v>
      </c>
      <c r="O163" s="3">
        <v>2740.0</v>
      </c>
      <c r="P163" s="3">
        <v>55.0</v>
      </c>
      <c r="Q163" s="3">
        <v>74.0</v>
      </c>
      <c r="R163" s="3">
        <v>57.0</v>
      </c>
      <c r="S163" s="3">
        <v>101.0</v>
      </c>
      <c r="T163" s="3">
        <v>287.0</v>
      </c>
      <c r="U163" s="3">
        <v>4.0</v>
      </c>
      <c r="V163" s="3">
        <v>6.0</v>
      </c>
      <c r="W163" s="3">
        <v>4.0</v>
      </c>
      <c r="X163" s="3">
        <v>5.0</v>
      </c>
      <c r="Y163" s="3">
        <v>0.0</v>
      </c>
      <c r="Z163" s="3">
        <v>1.0</v>
      </c>
      <c r="AA163" s="3" t="s">
        <v>73</v>
      </c>
      <c r="AB163" s="3">
        <v>5.0</v>
      </c>
      <c r="AC163" s="3">
        <v>9.0</v>
      </c>
      <c r="AD163" s="3">
        <v>4.0</v>
      </c>
      <c r="AE163" s="3">
        <v>6.0</v>
      </c>
      <c r="AF163" s="3">
        <v>1.0</v>
      </c>
      <c r="AG163" s="3">
        <v>3.0</v>
      </c>
      <c r="AH163" s="3">
        <v>3838.0</v>
      </c>
      <c r="AI163" s="3">
        <v>4300.0</v>
      </c>
      <c r="AJ163" s="3" t="str">
        <f t="array" ref="AJ163">IF(AA163="", "", XLOOKUP(AA163, 'Appendix B - Reason codes'!$A$4:$A$14, 'Appendix B - Reason codes'!$B$4:$B$14))</f>
        <v>Has an alternative to the vaccine</v>
      </c>
    </row>
    <row r="164" ht="15.75" customHeight="1">
      <c r="A164" s="3" t="s">
        <v>151</v>
      </c>
      <c r="B164" s="3">
        <v>163.0</v>
      </c>
      <c r="C164" s="3" t="s">
        <v>37</v>
      </c>
      <c r="D164" s="3" t="s">
        <v>127</v>
      </c>
      <c r="E164" s="3" t="s">
        <v>131</v>
      </c>
      <c r="F164" s="3" t="s">
        <v>152</v>
      </c>
      <c r="G164" s="3">
        <v>29.0</v>
      </c>
      <c r="H164" s="3">
        <v>8155.0</v>
      </c>
      <c r="I164" s="3">
        <v>12.0</v>
      </c>
      <c r="J164" s="3">
        <v>7231.0</v>
      </c>
      <c r="K164" s="3">
        <v>8178.0</v>
      </c>
      <c r="L164" s="3">
        <v>209.0</v>
      </c>
      <c r="M164" s="3">
        <v>804.0</v>
      </c>
      <c r="N164" s="3">
        <v>149.0</v>
      </c>
      <c r="O164" s="3">
        <v>4934.0</v>
      </c>
      <c r="P164" s="3">
        <v>155.0</v>
      </c>
      <c r="Q164" s="3">
        <v>270.0</v>
      </c>
      <c r="R164" s="3">
        <v>340.0</v>
      </c>
      <c r="S164" s="3">
        <v>145.0</v>
      </c>
      <c r="T164" s="3">
        <v>910.0</v>
      </c>
      <c r="U164" s="3">
        <v>4.0</v>
      </c>
      <c r="V164" s="3">
        <v>7.0</v>
      </c>
      <c r="W164" s="3">
        <v>3.0</v>
      </c>
      <c r="X164" s="3">
        <v>6.0</v>
      </c>
      <c r="Y164" s="3">
        <v>1.0</v>
      </c>
      <c r="Z164" s="3">
        <v>1.0</v>
      </c>
      <c r="AA164" s="3" t="s">
        <v>78</v>
      </c>
      <c r="AB164" s="3">
        <v>4.0</v>
      </c>
      <c r="AC164" s="3">
        <v>6.0</v>
      </c>
      <c r="AD164" s="3">
        <v>3.0</v>
      </c>
      <c r="AE164" s="3">
        <v>5.0</v>
      </c>
      <c r="AF164" s="3">
        <v>1.0</v>
      </c>
      <c r="AG164" s="3">
        <v>1.0</v>
      </c>
      <c r="AH164" s="3">
        <v>8644.0</v>
      </c>
      <c r="AI164" s="3">
        <v>9400.0</v>
      </c>
      <c r="AJ164" s="3" t="str">
        <f t="array" ref="AJ164">IF(AA164="", "", XLOOKUP(AA164, 'Appendix B - Reason codes'!$A$4:$A$14, 'Appendix B - Reason codes'!$B$4:$B$14))</f>
        <v>Child sick</v>
      </c>
    </row>
    <row r="165" ht="15.75" customHeight="1">
      <c r="A165" s="3" t="s">
        <v>151</v>
      </c>
      <c r="B165" s="3">
        <v>164.0</v>
      </c>
      <c r="C165" s="3" t="s">
        <v>37</v>
      </c>
      <c r="D165" s="3" t="s">
        <v>127</v>
      </c>
      <c r="E165" s="3" t="s">
        <v>132</v>
      </c>
      <c r="F165" s="3" t="s">
        <v>152</v>
      </c>
      <c r="G165" s="3">
        <v>22.0</v>
      </c>
      <c r="H165" s="3">
        <v>2553.0</v>
      </c>
      <c r="I165" s="3">
        <v>3.0</v>
      </c>
      <c r="J165" s="3">
        <v>2169.0</v>
      </c>
      <c r="K165" s="3">
        <v>2763.0</v>
      </c>
      <c r="L165" s="3">
        <v>14.0</v>
      </c>
      <c r="M165" s="3">
        <v>10.0</v>
      </c>
      <c r="N165" s="3">
        <v>50.0</v>
      </c>
      <c r="O165" s="3">
        <v>1902.0</v>
      </c>
      <c r="P165" s="3">
        <v>111.0</v>
      </c>
      <c r="Q165" s="3">
        <v>85.0</v>
      </c>
      <c r="R165" s="3">
        <v>105.0</v>
      </c>
      <c r="S165" s="3">
        <v>56.0</v>
      </c>
      <c r="T165" s="3">
        <v>357.0</v>
      </c>
      <c r="U165" s="3">
        <v>1.0</v>
      </c>
      <c r="V165" s="3">
        <v>2.0</v>
      </c>
      <c r="W165" s="3">
        <v>1.0</v>
      </c>
      <c r="X165" s="3">
        <v>2.0</v>
      </c>
      <c r="Y165" s="3">
        <v>0.0</v>
      </c>
      <c r="Z165" s="3">
        <v>0.0</v>
      </c>
      <c r="AA165" s="3" t="s">
        <v>51</v>
      </c>
      <c r="AB165" s="3">
        <v>3.0</v>
      </c>
      <c r="AC165" s="3">
        <v>6.0</v>
      </c>
      <c r="AD165" s="3">
        <v>3.0</v>
      </c>
      <c r="AE165" s="3">
        <v>5.0</v>
      </c>
      <c r="AF165" s="3">
        <v>0.0</v>
      </c>
      <c r="AG165" s="3">
        <v>1.0</v>
      </c>
      <c r="AH165" s="3">
        <v>2440.0</v>
      </c>
      <c r="AI165" s="3">
        <v>2650.0</v>
      </c>
      <c r="AJ165" s="3" t="str">
        <f t="array" ref="AJ165">IF(AA165="", "", XLOOKUP(AA165, 'Appendix B - Reason codes'!$A$4:$A$14, 'Appendix B - Reason codes'!$B$4:$B$14))</f>
        <v>Religious belief</v>
      </c>
    </row>
    <row r="166" ht="15.75" customHeight="1">
      <c r="A166" s="3" t="s">
        <v>151</v>
      </c>
      <c r="B166" s="3">
        <v>165.0</v>
      </c>
      <c r="C166" s="3" t="s">
        <v>37</v>
      </c>
      <c r="D166" s="3" t="s">
        <v>127</v>
      </c>
      <c r="E166" s="3" t="s">
        <v>133</v>
      </c>
      <c r="F166" s="3" t="s">
        <v>152</v>
      </c>
      <c r="G166" s="3">
        <v>38.0</v>
      </c>
      <c r="H166" s="3">
        <v>5325.0</v>
      </c>
      <c r="I166" s="3">
        <v>8.0</v>
      </c>
      <c r="J166" s="3">
        <v>5149.0</v>
      </c>
      <c r="K166" s="3">
        <v>5435.0</v>
      </c>
      <c r="L166" s="3">
        <v>154.0</v>
      </c>
      <c r="M166" s="3">
        <v>280.0</v>
      </c>
      <c r="N166" s="3">
        <v>209.0</v>
      </c>
      <c r="O166" s="3">
        <v>3331.0</v>
      </c>
      <c r="P166" s="3">
        <v>176.0</v>
      </c>
      <c r="Q166" s="3">
        <v>89.0</v>
      </c>
      <c r="R166" s="3">
        <v>87.0</v>
      </c>
      <c r="S166" s="3">
        <v>139.0</v>
      </c>
      <c r="T166" s="3">
        <v>491.0</v>
      </c>
      <c r="U166" s="3">
        <v>3.0</v>
      </c>
      <c r="V166" s="3">
        <v>4.0</v>
      </c>
      <c r="W166" s="3">
        <v>2.0</v>
      </c>
      <c r="X166" s="3">
        <v>3.0</v>
      </c>
      <c r="Y166" s="3">
        <v>1.0</v>
      </c>
      <c r="Z166" s="3">
        <v>1.0</v>
      </c>
      <c r="AA166" s="3" t="s">
        <v>73</v>
      </c>
      <c r="AB166" s="3">
        <v>5.0</v>
      </c>
      <c r="AC166" s="3">
        <v>9.0</v>
      </c>
      <c r="AD166" s="3">
        <v>4.0</v>
      </c>
      <c r="AE166" s="3">
        <v>7.0</v>
      </c>
      <c r="AF166" s="3">
        <v>1.0</v>
      </c>
      <c r="AG166" s="3">
        <v>2.0</v>
      </c>
      <c r="AH166" s="3">
        <v>5098.0</v>
      </c>
      <c r="AI166" s="3">
        <v>5700.0</v>
      </c>
      <c r="AJ166" s="3" t="str">
        <f t="array" ref="AJ166">IF(AA166="", "", XLOOKUP(AA166, 'Appendix B - Reason codes'!$A$4:$A$14, 'Appendix B - Reason codes'!$B$4:$B$14))</f>
        <v>Has an alternative to the vaccine</v>
      </c>
    </row>
    <row r="167" ht="15.75" customHeight="1">
      <c r="A167" s="3" t="s">
        <v>151</v>
      </c>
      <c r="B167" s="3">
        <v>166.0</v>
      </c>
      <c r="C167" s="3" t="s">
        <v>37</v>
      </c>
      <c r="D167" s="3" t="s">
        <v>134</v>
      </c>
      <c r="E167" s="3" t="s">
        <v>135</v>
      </c>
      <c r="F167" s="3" t="s">
        <v>152</v>
      </c>
      <c r="G167" s="3">
        <v>22.0</v>
      </c>
      <c r="H167" s="3">
        <v>1181.0</v>
      </c>
      <c r="I167" s="3">
        <v>1.0</v>
      </c>
      <c r="J167" s="3">
        <v>935.0</v>
      </c>
      <c r="K167" s="3">
        <v>1291.0</v>
      </c>
      <c r="L167" s="3">
        <v>16.0</v>
      </c>
      <c r="M167" s="3">
        <v>49.0</v>
      </c>
      <c r="N167" s="3">
        <v>38.0</v>
      </c>
      <c r="O167" s="3">
        <v>671.0</v>
      </c>
      <c r="P167" s="3">
        <v>30.0</v>
      </c>
      <c r="Q167" s="3">
        <v>10.0</v>
      </c>
      <c r="R167" s="3">
        <v>38.0</v>
      </c>
      <c r="S167" s="3">
        <v>16.0</v>
      </c>
      <c r="T167" s="3">
        <v>94.0</v>
      </c>
      <c r="U167" s="3">
        <v>1.0</v>
      </c>
      <c r="V167" s="3">
        <v>2.0</v>
      </c>
      <c r="W167" s="3">
        <v>1.0</v>
      </c>
      <c r="X167" s="3">
        <v>2.0</v>
      </c>
      <c r="Y167" s="3">
        <v>0.0</v>
      </c>
      <c r="Z167" s="3">
        <v>0.0</v>
      </c>
      <c r="AA167" s="3" t="s">
        <v>51</v>
      </c>
      <c r="AB167" s="3">
        <v>3.0</v>
      </c>
      <c r="AC167" s="3">
        <v>5.0</v>
      </c>
      <c r="AD167" s="3">
        <v>2.0</v>
      </c>
      <c r="AE167" s="3">
        <v>4.0</v>
      </c>
      <c r="AF167" s="3">
        <v>1.0</v>
      </c>
      <c r="AG167" s="3">
        <v>1.0</v>
      </c>
      <c r="AH167" s="3">
        <v>1033.0</v>
      </c>
      <c r="AI167" s="3">
        <v>1150.0</v>
      </c>
      <c r="AJ167" s="3" t="str">
        <f t="array" ref="AJ167">IF(AA167="", "", XLOOKUP(AA167, 'Appendix B - Reason codes'!$A$4:$A$14, 'Appendix B - Reason codes'!$B$4:$B$14))</f>
        <v>Religious belief</v>
      </c>
    </row>
    <row r="168" ht="15.75" customHeight="1">
      <c r="A168" s="3" t="s">
        <v>151</v>
      </c>
      <c r="B168" s="3">
        <v>167.0</v>
      </c>
      <c r="C168" s="3" t="s">
        <v>37</v>
      </c>
      <c r="D168" s="3" t="s">
        <v>134</v>
      </c>
      <c r="E168" s="3" t="s">
        <v>136</v>
      </c>
      <c r="F168" s="3" t="s">
        <v>152</v>
      </c>
      <c r="G168" s="3">
        <v>19.0</v>
      </c>
      <c r="H168" s="3">
        <v>1565.0</v>
      </c>
      <c r="I168" s="3">
        <v>2.0</v>
      </c>
      <c r="J168" s="3">
        <v>1312.0</v>
      </c>
      <c r="K168" s="3">
        <v>1717.0</v>
      </c>
      <c r="L168" s="3">
        <v>47.0</v>
      </c>
      <c r="M168" s="3">
        <v>18.0</v>
      </c>
      <c r="N168" s="3">
        <v>54.0</v>
      </c>
      <c r="O168" s="3">
        <v>1000.0</v>
      </c>
      <c r="P168" s="3">
        <v>13.0</v>
      </c>
      <c r="Q168" s="3">
        <v>31.0</v>
      </c>
      <c r="R168" s="3">
        <v>29.0</v>
      </c>
      <c r="S168" s="3">
        <v>12.0</v>
      </c>
      <c r="T168" s="3">
        <v>85.0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/>
      <c r="AB168" s="3">
        <v>7.0</v>
      </c>
      <c r="AC168" s="3">
        <v>12.0</v>
      </c>
      <c r="AD168" s="3">
        <v>5.0</v>
      </c>
      <c r="AE168" s="3">
        <v>8.0</v>
      </c>
      <c r="AF168" s="3">
        <v>2.0</v>
      </c>
      <c r="AG168" s="3">
        <v>4.0</v>
      </c>
      <c r="AH168" s="3">
        <v>1306.0</v>
      </c>
      <c r="AI168" s="3">
        <v>1500.0</v>
      </c>
      <c r="AJ168" s="3" t="str">
        <f t="array" ref="AJ168">IF(AA168="", "", XLOOKUP(AA168, 'Appendix B - Reason codes'!$A$4:$A$14, 'Appendix B - Reason codes'!$B$4:$B$14))</f>
        <v/>
      </c>
    </row>
    <row r="169" ht="15.75" customHeight="1">
      <c r="A169" s="3" t="s">
        <v>151</v>
      </c>
      <c r="B169" s="3">
        <v>168.0</v>
      </c>
      <c r="C169" s="3" t="s">
        <v>37</v>
      </c>
      <c r="D169" s="3" t="s">
        <v>134</v>
      </c>
      <c r="E169" s="3" t="s">
        <v>137</v>
      </c>
      <c r="F169" s="3" t="s">
        <v>152</v>
      </c>
      <c r="G169" s="3">
        <v>69.0</v>
      </c>
      <c r="H169" s="3">
        <v>22278.0</v>
      </c>
      <c r="I169" s="3">
        <v>34.0</v>
      </c>
      <c r="J169" s="3">
        <v>19950.0</v>
      </c>
      <c r="K169" s="3">
        <v>22922.0</v>
      </c>
      <c r="L169" s="3">
        <v>61.0</v>
      </c>
      <c r="M169" s="3">
        <v>940.0</v>
      </c>
      <c r="N169" s="3">
        <v>783.0</v>
      </c>
      <c r="O169" s="3">
        <v>16475.0</v>
      </c>
      <c r="P169" s="3">
        <v>100.0</v>
      </c>
      <c r="Q169" s="3">
        <v>196.0</v>
      </c>
      <c r="R169" s="3">
        <v>98.0</v>
      </c>
      <c r="S169" s="3">
        <v>549.0</v>
      </c>
      <c r="T169" s="3">
        <v>943.0</v>
      </c>
      <c r="U169" s="3">
        <v>16.0</v>
      </c>
      <c r="V169" s="3">
        <v>33.0</v>
      </c>
      <c r="W169" s="3">
        <v>13.0</v>
      </c>
      <c r="X169" s="3">
        <v>27.0</v>
      </c>
      <c r="Y169" s="3">
        <v>3.0</v>
      </c>
      <c r="Z169" s="3">
        <v>6.0</v>
      </c>
      <c r="AA169" s="3" t="s">
        <v>73</v>
      </c>
      <c r="AB169" s="3">
        <v>19.0</v>
      </c>
      <c r="AC169" s="3">
        <v>36.0</v>
      </c>
      <c r="AD169" s="3">
        <v>16.0</v>
      </c>
      <c r="AE169" s="3">
        <v>31.0</v>
      </c>
      <c r="AF169" s="3">
        <v>3.0</v>
      </c>
      <c r="AG169" s="3">
        <v>5.0</v>
      </c>
      <c r="AH169" s="3">
        <v>19758.0</v>
      </c>
      <c r="AI169" s="3">
        <v>22300.0</v>
      </c>
      <c r="AJ169" s="3" t="str">
        <f t="array" ref="AJ169">IF(AA169="", "", XLOOKUP(AA169, 'Appendix B - Reason codes'!$A$4:$A$14, 'Appendix B - Reason codes'!$B$4:$B$14))</f>
        <v>Has an alternative to the vaccine</v>
      </c>
    </row>
    <row r="170" ht="15.75" customHeight="1">
      <c r="A170" s="3" t="s">
        <v>151</v>
      </c>
      <c r="B170" s="3">
        <v>169.0</v>
      </c>
      <c r="C170" s="3" t="s">
        <v>37</v>
      </c>
      <c r="D170" s="3" t="s">
        <v>134</v>
      </c>
      <c r="E170" s="3" t="s">
        <v>138</v>
      </c>
      <c r="F170" s="3" t="s">
        <v>152</v>
      </c>
      <c r="G170" s="3">
        <v>34.0</v>
      </c>
      <c r="H170" s="3">
        <v>5589.0</v>
      </c>
      <c r="I170" s="3">
        <v>8.0</v>
      </c>
      <c r="J170" s="3">
        <v>5308.0</v>
      </c>
      <c r="K170" s="3">
        <v>6053.0</v>
      </c>
      <c r="L170" s="3">
        <v>158.0</v>
      </c>
      <c r="M170" s="3">
        <v>227.0</v>
      </c>
      <c r="N170" s="3">
        <v>207.0</v>
      </c>
      <c r="O170" s="3">
        <v>2787.0</v>
      </c>
      <c r="P170" s="3">
        <v>193.0</v>
      </c>
      <c r="Q170" s="3">
        <v>117.0</v>
      </c>
      <c r="R170" s="3">
        <v>107.0</v>
      </c>
      <c r="S170" s="3">
        <v>140.0</v>
      </c>
      <c r="T170" s="3">
        <v>557.0</v>
      </c>
      <c r="U170" s="3">
        <v>7.0</v>
      </c>
      <c r="V170" s="3">
        <v>12.0</v>
      </c>
      <c r="W170" s="3">
        <v>6.0</v>
      </c>
      <c r="X170" s="3">
        <v>11.0</v>
      </c>
      <c r="Y170" s="3">
        <v>1.0</v>
      </c>
      <c r="Z170" s="3">
        <v>1.0</v>
      </c>
      <c r="AA170" s="3" t="s">
        <v>82</v>
      </c>
      <c r="AB170" s="3">
        <v>5.0</v>
      </c>
      <c r="AC170" s="3">
        <v>8.0</v>
      </c>
      <c r="AD170" s="3">
        <v>4.0</v>
      </c>
      <c r="AE170" s="3">
        <v>6.0</v>
      </c>
      <c r="AF170" s="3">
        <v>1.0</v>
      </c>
      <c r="AG170" s="3">
        <v>2.0</v>
      </c>
      <c r="AH170" s="3">
        <v>4938.0</v>
      </c>
      <c r="AI170" s="3">
        <v>5500.0</v>
      </c>
      <c r="AJ170" s="3" t="str">
        <f t="array" ref="AJ170">IF(AA170="", "", XLOOKUP(AA170, 'Appendix B - Reason codes'!$A$4:$A$14, 'Appendix B - Reason codes'!$B$4:$B$14))</f>
        <v>Claims to have a cure</v>
      </c>
    </row>
    <row r="171" ht="15.75" customHeight="1">
      <c r="A171" s="3" t="s">
        <v>151</v>
      </c>
      <c r="B171" s="3">
        <v>170.0</v>
      </c>
      <c r="C171" s="3" t="s">
        <v>37</v>
      </c>
      <c r="D171" s="3" t="s">
        <v>134</v>
      </c>
      <c r="E171" s="3" t="s">
        <v>139</v>
      </c>
      <c r="F171" s="3" t="s">
        <v>152</v>
      </c>
      <c r="G171" s="3">
        <v>18.0</v>
      </c>
      <c r="H171" s="3">
        <v>2451.0</v>
      </c>
      <c r="I171" s="3">
        <v>3.0</v>
      </c>
      <c r="J171" s="3">
        <v>1791.0</v>
      </c>
      <c r="K171" s="3">
        <v>2604.0</v>
      </c>
      <c r="L171" s="3">
        <v>75.0</v>
      </c>
      <c r="M171" s="3">
        <v>34.0</v>
      </c>
      <c r="N171" s="3">
        <v>43.0</v>
      </c>
      <c r="O171" s="3">
        <v>1575.0</v>
      </c>
      <c r="P171" s="3">
        <v>76.0</v>
      </c>
      <c r="Q171" s="3">
        <v>41.0</v>
      </c>
      <c r="R171" s="3">
        <v>58.0</v>
      </c>
      <c r="S171" s="3">
        <v>23.0</v>
      </c>
      <c r="T171" s="3">
        <v>198.0</v>
      </c>
      <c r="U171" s="3">
        <v>2.0</v>
      </c>
      <c r="V171" s="3">
        <v>4.0</v>
      </c>
      <c r="W171" s="3">
        <v>2.0</v>
      </c>
      <c r="X171" s="3">
        <v>3.0</v>
      </c>
      <c r="Y171" s="3">
        <v>0.0</v>
      </c>
      <c r="Z171" s="3">
        <v>1.0</v>
      </c>
      <c r="AA171" s="3" t="s">
        <v>78</v>
      </c>
      <c r="AB171" s="3">
        <v>2.0</v>
      </c>
      <c r="AC171" s="3">
        <v>4.0</v>
      </c>
      <c r="AD171" s="3">
        <v>2.0</v>
      </c>
      <c r="AE171" s="3">
        <v>4.0</v>
      </c>
      <c r="AF171" s="3">
        <v>0.0</v>
      </c>
      <c r="AG171" s="3">
        <v>0.0</v>
      </c>
      <c r="AH171" s="3">
        <v>2106.0</v>
      </c>
      <c r="AI171" s="3">
        <v>2350.0</v>
      </c>
      <c r="AJ171" s="3" t="str">
        <f t="array" ref="AJ171">IF(AA171="", "", XLOOKUP(AA171, 'Appendix B - Reason codes'!$A$4:$A$14, 'Appendix B - Reason codes'!$B$4:$B$14))</f>
        <v>Child sick</v>
      </c>
    </row>
    <row r="172" ht="15.75" customHeight="1">
      <c r="A172" s="3" t="s">
        <v>151</v>
      </c>
      <c r="B172" s="3">
        <v>171.0</v>
      </c>
      <c r="C172" s="3" t="s">
        <v>37</v>
      </c>
      <c r="D172" s="3" t="s">
        <v>134</v>
      </c>
      <c r="E172" s="3" t="s">
        <v>140</v>
      </c>
      <c r="F172" s="3" t="s">
        <v>152</v>
      </c>
      <c r="G172" s="3">
        <v>38.0</v>
      </c>
      <c r="H172" s="3">
        <v>6115.0</v>
      </c>
      <c r="I172" s="3">
        <v>9.0</v>
      </c>
      <c r="J172" s="3">
        <v>4456.0</v>
      </c>
      <c r="K172" s="3">
        <v>6572.0</v>
      </c>
      <c r="L172" s="3">
        <v>206.0</v>
      </c>
      <c r="M172" s="3">
        <v>373.0</v>
      </c>
      <c r="N172" s="3">
        <v>108.0</v>
      </c>
      <c r="O172" s="3">
        <v>2991.0</v>
      </c>
      <c r="P172" s="3">
        <v>132.0</v>
      </c>
      <c r="Q172" s="3">
        <v>81.0</v>
      </c>
      <c r="R172" s="3">
        <v>62.0</v>
      </c>
      <c r="S172" s="3">
        <v>115.0</v>
      </c>
      <c r="T172" s="3">
        <v>390.0</v>
      </c>
      <c r="U172" s="3">
        <v>3.0</v>
      </c>
      <c r="V172" s="3">
        <v>6.0</v>
      </c>
      <c r="W172" s="3">
        <v>3.0</v>
      </c>
      <c r="X172" s="3">
        <v>5.0</v>
      </c>
      <c r="Y172" s="3">
        <v>0.0</v>
      </c>
      <c r="Z172" s="3">
        <v>1.0</v>
      </c>
      <c r="AA172" s="3" t="s">
        <v>41</v>
      </c>
      <c r="AB172" s="3">
        <v>9.0</v>
      </c>
      <c r="AC172" s="3">
        <v>16.0</v>
      </c>
      <c r="AD172" s="3">
        <v>7.0</v>
      </c>
      <c r="AE172" s="3">
        <v>13.0</v>
      </c>
      <c r="AF172" s="3">
        <v>2.0</v>
      </c>
      <c r="AG172" s="3">
        <v>3.0</v>
      </c>
      <c r="AH172" s="3">
        <v>5207.0</v>
      </c>
      <c r="AI172" s="3">
        <v>5750.0</v>
      </c>
      <c r="AJ172" s="3" t="str">
        <f t="array" ref="AJ172">IF(AA172="", "", XLOOKUP(AA172, 'Appendix B - Reason codes'!$A$4:$A$14, 'Appendix B - Reason codes'!$B$4:$B$14))</f>
        <v>Fatigue from many rounds</v>
      </c>
    </row>
    <row r="173" ht="15.75" customHeight="1">
      <c r="A173" s="3" t="s">
        <v>151</v>
      </c>
      <c r="B173" s="3">
        <v>172.0</v>
      </c>
      <c r="C173" s="3" t="s">
        <v>37</v>
      </c>
      <c r="D173" s="3" t="s">
        <v>134</v>
      </c>
      <c r="E173" s="3" t="s">
        <v>141</v>
      </c>
      <c r="F173" s="3" t="s">
        <v>152</v>
      </c>
      <c r="G173" s="3">
        <v>23.0</v>
      </c>
      <c r="H173" s="3">
        <v>1171.0</v>
      </c>
      <c r="I173" s="3">
        <v>1.0</v>
      </c>
      <c r="J173" s="3">
        <v>1031.0</v>
      </c>
      <c r="K173" s="3">
        <v>1208.0</v>
      </c>
      <c r="L173" s="3">
        <v>8.0</v>
      </c>
      <c r="M173" s="3">
        <v>96.0</v>
      </c>
      <c r="N173" s="3">
        <v>41.0</v>
      </c>
      <c r="O173" s="3">
        <v>763.0</v>
      </c>
      <c r="P173" s="3">
        <v>36.0</v>
      </c>
      <c r="Q173" s="3">
        <v>2.0</v>
      </c>
      <c r="R173" s="3">
        <v>21.0</v>
      </c>
      <c r="S173" s="3">
        <v>29.0</v>
      </c>
      <c r="T173" s="3">
        <v>88.0</v>
      </c>
      <c r="U173" s="3">
        <v>1.0</v>
      </c>
      <c r="V173" s="3">
        <v>2.0</v>
      </c>
      <c r="W173" s="3">
        <v>1.0</v>
      </c>
      <c r="X173" s="3">
        <v>2.0</v>
      </c>
      <c r="Y173" s="3">
        <v>0.0</v>
      </c>
      <c r="Z173" s="3">
        <v>0.0</v>
      </c>
      <c r="AA173" s="3" t="s">
        <v>46</v>
      </c>
      <c r="AB173" s="3">
        <v>2.0</v>
      </c>
      <c r="AC173" s="3">
        <v>3.0</v>
      </c>
      <c r="AD173" s="3">
        <v>2.0</v>
      </c>
      <c r="AE173" s="3">
        <v>2.0</v>
      </c>
      <c r="AF173" s="3">
        <v>0.0</v>
      </c>
      <c r="AG173" s="3">
        <v>1.0</v>
      </c>
      <c r="AH173" s="3">
        <v>995.0</v>
      </c>
      <c r="AI173" s="3">
        <v>1100.0</v>
      </c>
      <c r="AJ173" s="3" t="str">
        <f t="array" ref="AJ173">IF(AA173="", "", XLOOKUP(AA173, 'Appendix B - Reason codes'!$A$4:$A$14, 'Appendix B - Reason codes'!$B$4:$B$14))</f>
        <v>Father didn’t allow</v>
      </c>
    </row>
    <row r="174" ht="15.75" customHeight="1">
      <c r="A174" s="3" t="s">
        <v>151</v>
      </c>
      <c r="B174" s="3">
        <v>173.0</v>
      </c>
      <c r="C174" s="3" t="s">
        <v>37</v>
      </c>
      <c r="D174" s="3" t="s">
        <v>134</v>
      </c>
      <c r="E174" s="3" t="s">
        <v>142</v>
      </c>
      <c r="F174" s="3" t="s">
        <v>152</v>
      </c>
      <c r="G174" s="3">
        <v>29.0</v>
      </c>
      <c r="H174" s="3">
        <v>1100.0</v>
      </c>
      <c r="I174" s="3">
        <v>1.0</v>
      </c>
      <c r="J174" s="3">
        <v>815.0</v>
      </c>
      <c r="K174" s="3">
        <v>1125.0</v>
      </c>
      <c r="L174" s="3">
        <v>17.0</v>
      </c>
      <c r="M174" s="3">
        <v>46.0</v>
      </c>
      <c r="N174" s="3">
        <v>10.0</v>
      </c>
      <c r="O174" s="3">
        <v>738.0</v>
      </c>
      <c r="P174" s="3">
        <v>3.0</v>
      </c>
      <c r="Q174" s="3">
        <v>27.0</v>
      </c>
      <c r="R174" s="3">
        <v>34.0</v>
      </c>
      <c r="S174" s="3">
        <v>13.0</v>
      </c>
      <c r="T174" s="3">
        <v>77.0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/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930.0</v>
      </c>
      <c r="AI174" s="3">
        <v>1050.0</v>
      </c>
      <c r="AJ174" s="3" t="str">
        <f t="array" ref="AJ174">IF(AA174="", "", XLOOKUP(AA174, 'Appendix B - Reason codes'!$A$4:$A$14, 'Appendix B - Reason codes'!$B$4:$B$14))</f>
        <v/>
      </c>
    </row>
    <row r="175" ht="15.75" customHeight="1">
      <c r="A175" s="3" t="s">
        <v>151</v>
      </c>
      <c r="B175" s="3">
        <v>174.0</v>
      </c>
      <c r="C175" s="3" t="s">
        <v>37</v>
      </c>
      <c r="D175" s="3" t="s">
        <v>143</v>
      </c>
      <c r="E175" s="3" t="s">
        <v>144</v>
      </c>
      <c r="F175" s="3" t="s">
        <v>152</v>
      </c>
      <c r="G175" s="3">
        <v>56.0</v>
      </c>
      <c r="H175" s="3">
        <v>16815.0</v>
      </c>
      <c r="I175" s="3">
        <v>25.0</v>
      </c>
      <c r="J175" s="3">
        <v>11868.0</v>
      </c>
      <c r="K175" s="3">
        <v>16949.0</v>
      </c>
      <c r="L175" s="3">
        <v>305.0</v>
      </c>
      <c r="M175" s="3">
        <v>947.0</v>
      </c>
      <c r="N175" s="3">
        <v>479.0</v>
      </c>
      <c r="O175" s="3">
        <v>10346.0</v>
      </c>
      <c r="P175" s="3">
        <v>278.0</v>
      </c>
      <c r="Q175" s="3">
        <v>427.0</v>
      </c>
      <c r="R175" s="3">
        <v>343.0</v>
      </c>
      <c r="S175" s="3">
        <v>258.0</v>
      </c>
      <c r="T175" s="3">
        <v>1306.0</v>
      </c>
      <c r="U175" s="3">
        <v>3.0</v>
      </c>
      <c r="V175" s="3">
        <v>5.0</v>
      </c>
      <c r="W175" s="3">
        <v>3.0</v>
      </c>
      <c r="X175" s="3">
        <v>5.0</v>
      </c>
      <c r="Y175" s="3">
        <v>0.0</v>
      </c>
      <c r="Z175" s="3">
        <v>0.0</v>
      </c>
      <c r="AA175" s="3" t="s">
        <v>43</v>
      </c>
      <c r="AB175" s="3">
        <v>25.0</v>
      </c>
      <c r="AC175" s="3">
        <v>43.0</v>
      </c>
      <c r="AD175" s="3">
        <v>22.0</v>
      </c>
      <c r="AE175" s="3">
        <v>37.0</v>
      </c>
      <c r="AF175" s="3">
        <v>3.0</v>
      </c>
      <c r="AG175" s="3">
        <v>6.0</v>
      </c>
      <c r="AH175" s="3">
        <v>15760.0</v>
      </c>
      <c r="AI175" s="3">
        <v>16750.0</v>
      </c>
      <c r="AJ175" s="3" t="str">
        <f t="array" ref="AJ175">IF(AA175="", "", XLOOKUP(AA175, 'Appendix B - Reason codes'!$A$4:$A$14, 'Appendix B - Reason codes'!$B$4:$B$14))</f>
        <v>Unhappy (with the team / programme)</v>
      </c>
    </row>
    <row r="176" ht="15.75" customHeight="1">
      <c r="A176" s="3" t="s">
        <v>151</v>
      </c>
      <c r="B176" s="3">
        <v>175.0</v>
      </c>
      <c r="C176" s="3" t="s">
        <v>37</v>
      </c>
      <c r="D176" s="3" t="s">
        <v>143</v>
      </c>
      <c r="E176" s="3" t="s">
        <v>145</v>
      </c>
      <c r="F176" s="3" t="s">
        <v>152</v>
      </c>
      <c r="G176" s="3">
        <v>41.0</v>
      </c>
      <c r="H176" s="3">
        <v>4217.0</v>
      </c>
      <c r="I176" s="3">
        <v>6.0</v>
      </c>
      <c r="J176" s="3">
        <v>4207.0</v>
      </c>
      <c r="K176" s="3">
        <v>4431.0</v>
      </c>
      <c r="L176" s="3">
        <v>126.0</v>
      </c>
      <c r="M176" s="3">
        <v>175.0</v>
      </c>
      <c r="N176" s="3">
        <v>144.0</v>
      </c>
      <c r="O176" s="3">
        <v>2341.0</v>
      </c>
      <c r="P176" s="3">
        <v>29.0</v>
      </c>
      <c r="Q176" s="3">
        <v>96.0</v>
      </c>
      <c r="R176" s="3">
        <v>32.0</v>
      </c>
      <c r="S176" s="3">
        <v>101.0</v>
      </c>
      <c r="T176" s="3">
        <v>258.0</v>
      </c>
      <c r="U176" s="3">
        <v>2.0</v>
      </c>
      <c r="V176" s="3">
        <v>3.0</v>
      </c>
      <c r="W176" s="3">
        <v>2.0</v>
      </c>
      <c r="X176" s="3">
        <v>3.0</v>
      </c>
      <c r="Y176" s="3">
        <v>0.0</v>
      </c>
      <c r="Z176" s="3">
        <v>0.0</v>
      </c>
      <c r="AA176" s="3" t="s">
        <v>119</v>
      </c>
      <c r="AB176" s="3">
        <v>6.0</v>
      </c>
      <c r="AC176" s="3">
        <v>8.0</v>
      </c>
      <c r="AD176" s="3">
        <v>5.0</v>
      </c>
      <c r="AE176" s="3">
        <v>7.0</v>
      </c>
      <c r="AF176" s="3">
        <v>1.0</v>
      </c>
      <c r="AG176" s="3">
        <v>1.0</v>
      </c>
      <c r="AH176" s="3">
        <v>4045.0</v>
      </c>
      <c r="AI176" s="3">
        <v>4400.0</v>
      </c>
      <c r="AJ176" s="3" t="str">
        <f t="array" ref="AJ176">IF(AA176="", "", XLOOKUP(AA176, 'Appendix B - Reason codes'!$A$4:$A$14, 'Appendix B - Reason codes'!$B$4:$B$14))</f>
        <v>Other (unspecified)</v>
      </c>
    </row>
    <row r="177" ht="15.75" customHeight="1">
      <c r="A177" s="3" t="s">
        <v>151</v>
      </c>
      <c r="B177" s="3">
        <v>176.0</v>
      </c>
      <c r="C177" s="3" t="s">
        <v>37</v>
      </c>
      <c r="D177" s="3" t="s">
        <v>143</v>
      </c>
      <c r="E177" s="3" t="s">
        <v>146</v>
      </c>
      <c r="F177" s="3" t="s">
        <v>152</v>
      </c>
      <c r="G177" s="3">
        <v>34.0</v>
      </c>
      <c r="H177" s="3">
        <v>6445.0</v>
      </c>
      <c r="I177" s="3">
        <v>9.0</v>
      </c>
      <c r="J177" s="3">
        <v>6430.0</v>
      </c>
      <c r="K177" s="3">
        <v>6482.0</v>
      </c>
      <c r="L177" s="3">
        <v>219.0</v>
      </c>
      <c r="M177" s="3">
        <v>570.0</v>
      </c>
      <c r="N177" s="3">
        <v>312.0</v>
      </c>
      <c r="O177" s="3">
        <v>3657.0</v>
      </c>
      <c r="P177" s="3">
        <v>139.0</v>
      </c>
      <c r="Q177" s="3">
        <v>13.0</v>
      </c>
      <c r="R177" s="3">
        <v>84.0</v>
      </c>
      <c r="S177" s="3">
        <v>132.0</v>
      </c>
      <c r="T177" s="3">
        <v>368.0</v>
      </c>
      <c r="U177" s="3">
        <v>3.0</v>
      </c>
      <c r="V177" s="3">
        <v>6.0</v>
      </c>
      <c r="W177" s="3">
        <v>3.0</v>
      </c>
      <c r="X177" s="3">
        <v>5.0</v>
      </c>
      <c r="Y177" s="3">
        <v>0.0</v>
      </c>
      <c r="Z177" s="3">
        <v>1.0</v>
      </c>
      <c r="AA177" s="3" t="s">
        <v>41</v>
      </c>
      <c r="AB177" s="3">
        <v>5.0</v>
      </c>
      <c r="AC177" s="3">
        <v>9.0</v>
      </c>
      <c r="AD177" s="3">
        <v>4.0</v>
      </c>
      <c r="AE177" s="3">
        <v>8.0</v>
      </c>
      <c r="AF177" s="3">
        <v>1.0</v>
      </c>
      <c r="AG177" s="3">
        <v>1.0</v>
      </c>
      <c r="AH177" s="3">
        <v>6415.0</v>
      </c>
      <c r="AI177" s="3">
        <v>7150.0</v>
      </c>
      <c r="AJ177" s="3" t="str">
        <f t="array" ref="AJ177">IF(AA177="", "", XLOOKUP(AA177, 'Appendix B - Reason codes'!$A$4:$A$14, 'Appendix B - Reason codes'!$B$4:$B$14))</f>
        <v>Fatigue from many rounds</v>
      </c>
    </row>
    <row r="178" ht="15.75" customHeight="1">
      <c r="A178" s="3" t="s">
        <v>151</v>
      </c>
      <c r="B178" s="3">
        <v>177.0</v>
      </c>
      <c r="C178" s="3" t="s">
        <v>37</v>
      </c>
      <c r="D178" s="3" t="s">
        <v>143</v>
      </c>
      <c r="E178" s="3" t="s">
        <v>147</v>
      </c>
      <c r="F178" s="3" t="s">
        <v>152</v>
      </c>
      <c r="G178" s="3">
        <v>21.0</v>
      </c>
      <c r="H178" s="3">
        <v>6876.0</v>
      </c>
      <c r="I178" s="3">
        <v>10.0</v>
      </c>
      <c r="J178" s="3">
        <v>5706.0</v>
      </c>
      <c r="K178" s="3">
        <v>7617.0</v>
      </c>
      <c r="L178" s="3">
        <v>42.0</v>
      </c>
      <c r="M178" s="3">
        <v>89.0</v>
      </c>
      <c r="N178" s="3">
        <v>191.0</v>
      </c>
      <c r="O178" s="3">
        <v>5432.0</v>
      </c>
      <c r="P178" s="3">
        <v>130.0</v>
      </c>
      <c r="Q178" s="3">
        <v>271.0</v>
      </c>
      <c r="R178" s="3">
        <v>103.0</v>
      </c>
      <c r="S178" s="3">
        <v>38.0</v>
      </c>
      <c r="T178" s="3">
        <v>542.0</v>
      </c>
      <c r="U178" s="3">
        <v>5.0</v>
      </c>
      <c r="V178" s="3">
        <v>11.0</v>
      </c>
      <c r="W178" s="3">
        <v>5.0</v>
      </c>
      <c r="X178" s="3">
        <v>10.0</v>
      </c>
      <c r="Y178" s="3">
        <v>0.0</v>
      </c>
      <c r="Z178" s="3">
        <v>1.0</v>
      </c>
      <c r="AA178" s="3" t="s">
        <v>73</v>
      </c>
      <c r="AB178" s="3">
        <v>12.0</v>
      </c>
      <c r="AC178" s="3">
        <v>19.0</v>
      </c>
      <c r="AD178" s="3">
        <v>11.0</v>
      </c>
      <c r="AE178" s="3">
        <v>17.0</v>
      </c>
      <c r="AF178" s="3">
        <v>1.0</v>
      </c>
      <c r="AG178" s="3">
        <v>2.0</v>
      </c>
      <c r="AH178" s="3">
        <v>7289.0</v>
      </c>
      <c r="AI178" s="3">
        <v>7850.0</v>
      </c>
      <c r="AJ178" s="3" t="str">
        <f t="array" ref="AJ178">IF(AA178="", "", XLOOKUP(AA178, 'Appendix B - Reason codes'!$A$4:$A$14, 'Appendix B - Reason codes'!$B$4:$B$14))</f>
        <v>Has an alternative to the vaccine</v>
      </c>
    </row>
    <row r="179" ht="15.75" customHeight="1">
      <c r="A179" s="3" t="s">
        <v>151</v>
      </c>
      <c r="B179" s="3">
        <v>178.0</v>
      </c>
      <c r="C179" s="3" t="s">
        <v>37</v>
      </c>
      <c r="D179" s="3" t="s">
        <v>143</v>
      </c>
      <c r="E179" s="3" t="s">
        <v>148</v>
      </c>
      <c r="F179" s="3" t="s">
        <v>152</v>
      </c>
      <c r="G179" s="3">
        <v>49.0</v>
      </c>
      <c r="H179" s="3">
        <v>13314.0</v>
      </c>
      <c r="I179" s="3">
        <v>20.0</v>
      </c>
      <c r="J179" s="3">
        <v>9832.0</v>
      </c>
      <c r="K179" s="3">
        <v>13771.0</v>
      </c>
      <c r="L179" s="3">
        <v>315.0</v>
      </c>
      <c r="M179" s="3">
        <v>882.0</v>
      </c>
      <c r="N179" s="3">
        <v>188.0</v>
      </c>
      <c r="O179" s="3">
        <v>7363.0</v>
      </c>
      <c r="P179" s="3">
        <v>552.0</v>
      </c>
      <c r="Q179" s="3">
        <v>134.0</v>
      </c>
      <c r="R179" s="3">
        <v>594.0</v>
      </c>
      <c r="S179" s="3">
        <v>32.0</v>
      </c>
      <c r="T179" s="3">
        <v>1312.0</v>
      </c>
      <c r="U179" s="3">
        <v>9.0</v>
      </c>
      <c r="V179" s="3">
        <v>13.0</v>
      </c>
      <c r="W179" s="3">
        <v>9.0</v>
      </c>
      <c r="X179" s="3">
        <v>12.0</v>
      </c>
      <c r="Y179" s="3">
        <v>0.0</v>
      </c>
      <c r="Z179" s="3">
        <v>1.0</v>
      </c>
      <c r="AA179" s="3" t="s">
        <v>78</v>
      </c>
      <c r="AB179" s="3">
        <v>12.0</v>
      </c>
      <c r="AC179" s="3">
        <v>17.0</v>
      </c>
      <c r="AD179" s="3">
        <v>10.0</v>
      </c>
      <c r="AE179" s="3">
        <v>13.0</v>
      </c>
      <c r="AF179" s="3">
        <v>2.0</v>
      </c>
      <c r="AG179" s="3">
        <v>4.0</v>
      </c>
      <c r="AH179" s="3">
        <v>12974.0</v>
      </c>
      <c r="AI179" s="3">
        <v>14250.0</v>
      </c>
      <c r="AJ179" s="3" t="str">
        <f t="array" ref="AJ179">IF(AA179="", "", XLOOKUP(AA179, 'Appendix B - Reason codes'!$A$4:$A$14, 'Appendix B - Reason codes'!$B$4:$B$14))</f>
        <v>Child sick</v>
      </c>
    </row>
    <row r="180" ht="15.75" customHeight="1">
      <c r="A180" s="3" t="s">
        <v>151</v>
      </c>
      <c r="B180" s="3">
        <v>179.0</v>
      </c>
      <c r="C180" s="3" t="s">
        <v>37</v>
      </c>
      <c r="D180" s="3" t="s">
        <v>143</v>
      </c>
      <c r="E180" s="3" t="s">
        <v>149</v>
      </c>
      <c r="F180" s="3" t="s">
        <v>152</v>
      </c>
      <c r="G180" s="3">
        <v>14.0</v>
      </c>
      <c r="H180" s="3">
        <v>1499.0</v>
      </c>
      <c r="I180" s="3">
        <v>2.0</v>
      </c>
      <c r="J180" s="3">
        <v>1354.0</v>
      </c>
      <c r="K180" s="3">
        <v>1678.0</v>
      </c>
      <c r="L180" s="3">
        <v>16.0</v>
      </c>
      <c r="M180" s="3">
        <v>127.0</v>
      </c>
      <c r="N180" s="3">
        <v>20.0</v>
      </c>
      <c r="O180" s="3">
        <v>1173.0</v>
      </c>
      <c r="P180" s="3">
        <v>29.0</v>
      </c>
      <c r="Q180" s="3">
        <v>12.0</v>
      </c>
      <c r="R180" s="3">
        <v>1.0</v>
      </c>
      <c r="S180" s="3">
        <v>10.0</v>
      </c>
      <c r="T180" s="3">
        <v>52.0</v>
      </c>
      <c r="U180" s="3">
        <v>1.0</v>
      </c>
      <c r="V180" s="3">
        <v>2.0</v>
      </c>
      <c r="W180" s="3">
        <v>1.0</v>
      </c>
      <c r="X180" s="3">
        <v>2.0</v>
      </c>
      <c r="Y180" s="3">
        <v>0.0</v>
      </c>
      <c r="Z180" s="3">
        <v>0.0</v>
      </c>
      <c r="AA180" s="3" t="s">
        <v>51</v>
      </c>
      <c r="AB180" s="3">
        <v>4.0</v>
      </c>
      <c r="AC180" s="3">
        <v>7.0</v>
      </c>
      <c r="AD180" s="3">
        <v>4.0</v>
      </c>
      <c r="AE180" s="3">
        <v>6.0</v>
      </c>
      <c r="AF180" s="3">
        <v>0.0</v>
      </c>
      <c r="AG180" s="3">
        <v>1.0</v>
      </c>
      <c r="AH180" s="3">
        <v>1440.0</v>
      </c>
      <c r="AI180" s="3">
        <v>1600.0</v>
      </c>
      <c r="AJ180" s="3" t="str">
        <f t="array" ref="AJ180">IF(AA180="", "", XLOOKUP(AA180, 'Appendix B - Reason codes'!$A$4:$A$14, 'Appendix B - Reason codes'!$B$4:$B$14))</f>
        <v>Religious belief</v>
      </c>
    </row>
    <row r="181" ht="15.75" customHeight="1">
      <c r="A181" s="3" t="s">
        <v>151</v>
      </c>
      <c r="B181" s="3">
        <v>180.0</v>
      </c>
      <c r="C181" s="3" t="s">
        <v>37</v>
      </c>
      <c r="D181" s="3" t="s">
        <v>143</v>
      </c>
      <c r="E181" s="3" t="s">
        <v>150</v>
      </c>
      <c r="F181" s="3" t="s">
        <v>152</v>
      </c>
      <c r="G181" s="3">
        <v>6.0</v>
      </c>
      <c r="H181" s="3">
        <v>4673.0</v>
      </c>
      <c r="I181" s="3">
        <v>7.0</v>
      </c>
      <c r="J181" s="3">
        <v>3729.0</v>
      </c>
      <c r="K181" s="3">
        <v>4934.0</v>
      </c>
      <c r="L181" s="3">
        <v>26.0</v>
      </c>
      <c r="M181" s="3">
        <v>205.0</v>
      </c>
      <c r="N181" s="3">
        <v>91.0</v>
      </c>
      <c r="O181" s="3">
        <v>3373.0</v>
      </c>
      <c r="P181" s="3">
        <v>13.0</v>
      </c>
      <c r="Q181" s="3">
        <v>154.0</v>
      </c>
      <c r="R181" s="3">
        <v>64.0</v>
      </c>
      <c r="S181" s="3">
        <v>8.0</v>
      </c>
      <c r="T181" s="3">
        <v>239.0</v>
      </c>
      <c r="U181" s="3">
        <v>7.0</v>
      </c>
      <c r="V181" s="3">
        <v>12.0</v>
      </c>
      <c r="W181" s="3">
        <v>6.0</v>
      </c>
      <c r="X181" s="3">
        <v>10.0</v>
      </c>
      <c r="Y181" s="3">
        <v>1.0</v>
      </c>
      <c r="Z181" s="3">
        <v>2.0</v>
      </c>
      <c r="AA181" s="3" t="s">
        <v>73</v>
      </c>
      <c r="AB181" s="3">
        <v>5.0</v>
      </c>
      <c r="AC181" s="3">
        <v>8.0</v>
      </c>
      <c r="AD181" s="3">
        <v>4.0</v>
      </c>
      <c r="AE181" s="3">
        <v>6.0</v>
      </c>
      <c r="AF181" s="3">
        <v>1.0</v>
      </c>
      <c r="AG181" s="3">
        <v>2.0</v>
      </c>
      <c r="AH181" s="3">
        <v>4461.0</v>
      </c>
      <c r="AI181" s="3">
        <v>4900.0</v>
      </c>
      <c r="AJ181" s="3" t="str">
        <f t="array" ref="AJ181">IF(AA181="", "", XLOOKUP(AA181, 'Appendix B - Reason codes'!$A$4:$A$14, 'Appendix B - Reason codes'!$B$4:$B$14))</f>
        <v>Has an alternative to the vaccine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</cols>
  <sheetData>
    <row r="1">
      <c r="A1" s="4" t="s">
        <v>153</v>
      </c>
      <c r="B1" s="4" t="s">
        <v>154</v>
      </c>
      <c r="C1" s="4" t="s">
        <v>155</v>
      </c>
      <c r="D1" s="5" t="s">
        <v>156</v>
      </c>
      <c r="E1" s="4" t="s">
        <v>157</v>
      </c>
      <c r="F1" s="6" t="s">
        <v>158</v>
      </c>
      <c r="G1" s="2" t="s">
        <v>159</v>
      </c>
      <c r="H1" s="7" t="s">
        <v>160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161</v>
      </c>
      <c r="B2" s="8">
        <f>SUMIFS(tally_data!H:H, tally_data!A:A, "Round 1")</f>
        <v>573644</v>
      </c>
      <c r="C2" s="8">
        <f>sumifs(tally_data!AH:AH, tally_data!A:A, "Round 1")</f>
        <v>531335</v>
      </c>
      <c r="D2" s="10">
        <f t="shared" ref="D2:D14" si="1">C2/B2</f>
        <v>0.9262451974</v>
      </c>
      <c r="E2" s="8">
        <f>SUMIFS(tally_data!H:H, tally_data!A:A, "Round 2")</f>
        <v>690426</v>
      </c>
      <c r="F2" s="8">
        <f>SUMIFS(tally_data!AH:AH, tally_data!A:A, "Round 2")</f>
        <v>664753</v>
      </c>
      <c r="G2" s="10">
        <f t="shared" ref="G2:G14" si="2">F2/E2</f>
        <v>0.9628157109</v>
      </c>
      <c r="H2" s="10">
        <f t="shared" ref="H2:H14" si="3">G2-D2</f>
        <v>0.03657051351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38</v>
      </c>
      <c r="B3" s="8">
        <f>SUMIFS(tally_data!$H:$H, tally_data!$A:$A, "Round 1", tally_data!$D:$D, $A3)</f>
        <v>47842</v>
      </c>
      <c r="C3" s="8">
        <f>SUMIFS(tally_data!$AH:$AH, tally_data!$A:$A, "Round 1", tally_data!$D:$D, $A3)</f>
        <v>43879</v>
      </c>
      <c r="D3" s="10">
        <f t="shared" si="1"/>
        <v>0.9171648342</v>
      </c>
      <c r="E3" s="8">
        <f>SUMIFS(tally_data!$H:$H, tally_data!$A:$A, "Round 2", tally_data!$D:$D, $A3)</f>
        <v>65760</v>
      </c>
      <c r="F3" s="8">
        <f>SUMIFS(tally_data!$AH:$AH, tally_data!$A:$A, "Round 2", tally_data!$D:$D, $A3)</f>
        <v>64135</v>
      </c>
      <c r="G3" s="10">
        <f t="shared" si="2"/>
        <v>0.9752889294</v>
      </c>
      <c r="H3" s="10">
        <f t="shared" si="3"/>
        <v>0.05812409519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54</v>
      </c>
      <c r="B4" s="8">
        <f>SUMIFS(tally_data!$H:$H, tally_data!$A:$A, "Round 1", tally_data!$D:$D, $A4)</f>
        <v>71868</v>
      </c>
      <c r="C4" s="8">
        <f>SUMIFS(tally_data!$AH:$AH, tally_data!$A:$A, "Round 1", tally_data!$D:$D, $A4)</f>
        <v>65518</v>
      </c>
      <c r="D4" s="10">
        <f t="shared" si="1"/>
        <v>0.9116435688</v>
      </c>
      <c r="E4" s="8">
        <f>SUMIFS(tally_data!$H:$H, tally_data!$A:$A, "Round 2", tally_data!$D:$D, $A4)</f>
        <v>67535</v>
      </c>
      <c r="F4" s="8">
        <f>SUMIFS(tally_data!$AH:$AH, tally_data!$A:$A, "Round 2", tally_data!$D:$D, $A4)</f>
        <v>65738</v>
      </c>
      <c r="G4" s="10">
        <f t="shared" si="2"/>
        <v>0.9733915747</v>
      </c>
      <c r="H4" s="10">
        <f t="shared" si="3"/>
        <v>0.06174800597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64</v>
      </c>
      <c r="B5" s="8">
        <f>SUMIFS(tally_data!$H:$H, tally_data!$A:$A, "Round 1", tally_data!$D:$D, $A5)</f>
        <v>36253</v>
      </c>
      <c r="C5" s="8">
        <f>SUMIFS(tally_data!$AH:$AH, tally_data!$A:$A, "Round 1", tally_data!$D:$D, $A5)</f>
        <v>32673</v>
      </c>
      <c r="D5" s="10">
        <f t="shared" si="1"/>
        <v>0.9012495518</v>
      </c>
      <c r="E5" s="8">
        <f>SUMIFS(tally_data!$H:$H, tally_data!$A:$A, "Round 2", tally_data!$D:$D, $A5)</f>
        <v>102547</v>
      </c>
      <c r="F5" s="8">
        <f>SUMIFS(tally_data!$AH:$AH, tally_data!$A:$A, "Round 2", tally_data!$D:$D, $A5)</f>
        <v>98239</v>
      </c>
      <c r="G5" s="10">
        <f t="shared" si="2"/>
        <v>0.9579899948</v>
      </c>
      <c r="H5" s="10">
        <f t="shared" si="3"/>
        <v>0.05674044307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75</v>
      </c>
      <c r="B6" s="8">
        <f>SUMIFS(tally_data!$H:$H, tally_data!$A:$A, "Round 1", tally_data!$D:$D, $A6)</f>
        <v>43147</v>
      </c>
      <c r="C6" s="8">
        <f>SUMIFS(tally_data!$AH:$AH, tally_data!$A:$A, "Round 1", tally_data!$D:$D, $A6)</f>
        <v>43498</v>
      </c>
      <c r="D6" s="10">
        <f t="shared" si="1"/>
        <v>1.00813498</v>
      </c>
      <c r="E6" s="8">
        <f>SUMIFS(tally_data!$H:$H, tally_data!$A:$A, "Round 2", tally_data!$D:$D, $A6)</f>
        <v>19088</v>
      </c>
      <c r="F6" s="8">
        <f>SUMIFS(tally_data!$AH:$AH, tally_data!$A:$A, "Round 2", tally_data!$D:$D, $A6)</f>
        <v>17610</v>
      </c>
      <c r="G6" s="10">
        <f t="shared" si="2"/>
        <v>0.9225691534</v>
      </c>
      <c r="H6" s="10">
        <f t="shared" si="3"/>
        <v>-0.08556582702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84</v>
      </c>
      <c r="B7" s="8">
        <f>SUMIFS(tally_data!$H:$H, tally_data!$A:$A, "Round 1", tally_data!$D:$D, $A7)</f>
        <v>48942</v>
      </c>
      <c r="C7" s="8">
        <f>SUMIFS(tally_data!$AH:$AH, tally_data!$A:$A, "Round 1", tally_data!$D:$D, $A7)</f>
        <v>45281</v>
      </c>
      <c r="D7" s="10">
        <f t="shared" si="1"/>
        <v>0.9251971722</v>
      </c>
      <c r="E7" s="8">
        <f>SUMIFS(tally_data!$H:$H, tally_data!$A:$A, "Round 2", tally_data!$D:$D, $A7)</f>
        <v>58488</v>
      </c>
      <c r="F7" s="8">
        <f>SUMIFS(tally_data!$AH:$AH, tally_data!$A:$A, "Round 2", tally_data!$D:$D, $A7)</f>
        <v>56052</v>
      </c>
      <c r="G7" s="10">
        <f t="shared" si="2"/>
        <v>0.9583504309</v>
      </c>
      <c r="H7" s="10">
        <f t="shared" si="3"/>
        <v>0.03315325869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93</v>
      </c>
      <c r="B8" s="8">
        <f>SUMIFS(tally_data!$H:$H, tally_data!$A:$A, "Round 1", tally_data!$D:$D, $A8)</f>
        <v>55905</v>
      </c>
      <c r="C8" s="8">
        <f>SUMIFS(tally_data!$AH:$AH, tally_data!$A:$A, "Round 1", tally_data!$D:$D, $A8)</f>
        <v>49131</v>
      </c>
      <c r="D8" s="10">
        <f t="shared" si="1"/>
        <v>0.8788301583</v>
      </c>
      <c r="E8" s="8">
        <f>SUMIFS(tally_data!$H:$H, tally_data!$A:$A, "Round 2", tally_data!$D:$D, $A8)</f>
        <v>36925</v>
      </c>
      <c r="F8" s="8">
        <f>SUMIFS(tally_data!$AH:$AH, tally_data!$A:$A, "Round 2", tally_data!$D:$D, $A8)</f>
        <v>35694</v>
      </c>
      <c r="G8" s="10">
        <f t="shared" si="2"/>
        <v>0.966662153</v>
      </c>
      <c r="H8" s="10">
        <f t="shared" si="3"/>
        <v>0.08783199471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99</v>
      </c>
      <c r="B9" s="8">
        <f>SUMIFS(tally_data!$H:$H, tally_data!$A:$A, "Round 1", tally_data!$D:$D, $A9)</f>
        <v>49879</v>
      </c>
      <c r="C9" s="8">
        <f>SUMIFS(tally_data!$AH:$AH, tally_data!$A:$A, "Round 1", tally_data!$D:$D, $A9)</f>
        <v>44465</v>
      </c>
      <c r="D9" s="10">
        <f t="shared" si="1"/>
        <v>0.8914573267</v>
      </c>
      <c r="E9" s="8">
        <f>SUMIFS(tally_data!$H:$H, tally_data!$A:$A, "Round 2", tally_data!$D:$D, $A9)</f>
        <v>104188</v>
      </c>
      <c r="F9" s="8">
        <f>SUMIFS(tally_data!$AH:$AH, tally_data!$A:$A, "Round 2", tally_data!$D:$D, $A9)</f>
        <v>99923</v>
      </c>
      <c r="G9" s="10">
        <f t="shared" si="2"/>
        <v>0.9590643836</v>
      </c>
      <c r="H9" s="10">
        <f t="shared" si="3"/>
        <v>0.06760705688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111</v>
      </c>
      <c r="B10" s="8">
        <f>SUMIFS(tally_data!$H:$H, tally_data!$A:$A, "Round 1", tally_data!$D:$D, $A10)</f>
        <v>40415</v>
      </c>
      <c r="C10" s="8">
        <f>SUMIFS(tally_data!$AH:$AH, tally_data!$A:$A, "Round 1", tally_data!$D:$D, $A10)</f>
        <v>35595</v>
      </c>
      <c r="D10" s="10">
        <f t="shared" si="1"/>
        <v>0.88073735</v>
      </c>
      <c r="E10" s="8">
        <f>SUMIFS(tally_data!$H:$H, tally_data!$A:$A, "Round 2", tally_data!$D:$D, $A10)</f>
        <v>27679</v>
      </c>
      <c r="F10" s="8">
        <f>SUMIFS(tally_data!$AH:$AH, tally_data!$A:$A, "Round 2", tally_data!$D:$D, $A10)</f>
        <v>24270</v>
      </c>
      <c r="G10" s="10">
        <f t="shared" si="2"/>
        <v>0.8768380361</v>
      </c>
      <c r="H10" s="10">
        <f t="shared" si="3"/>
        <v>-0.003899313938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116</v>
      </c>
      <c r="B11" s="8">
        <f>SUMIFS(tally_data!$H:$H, tally_data!$A:$A, "Round 1", tally_data!$D:$D, $A11)</f>
        <v>55501</v>
      </c>
      <c r="C11" s="8">
        <f>SUMIFS(tally_data!$AH:$AH, tally_data!$A:$A, "Round 1", tally_data!$D:$D, $A11)</f>
        <v>52761</v>
      </c>
      <c r="D11" s="10">
        <f t="shared" si="1"/>
        <v>0.9506315202</v>
      </c>
      <c r="E11" s="8">
        <f>SUMIFS(tally_data!$H:$H, tally_data!$A:$A, "Round 2", tally_data!$D:$D, $A11)</f>
        <v>85637</v>
      </c>
      <c r="F11" s="8">
        <f>SUMIFS(tally_data!$AH:$AH, tally_data!$A:$A, "Round 2", tally_data!$D:$D, $A11)</f>
        <v>86564</v>
      </c>
      <c r="G11" s="10">
        <f t="shared" si="2"/>
        <v>1.01082476</v>
      </c>
      <c r="H11" s="10">
        <f t="shared" si="3"/>
        <v>0.06019324017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127</v>
      </c>
      <c r="B12" s="8">
        <f>SUMIFS(tally_data!$H:$H, tally_data!$A:$A, "Round 1", tally_data!$D:$D, $A12)</f>
        <v>34538</v>
      </c>
      <c r="C12" s="8">
        <f>SUMIFS(tally_data!$AH:$AH, tally_data!$A:$A, "Round 1", tally_data!$D:$D, $A12)</f>
        <v>34321</v>
      </c>
      <c r="D12" s="10">
        <f t="shared" si="1"/>
        <v>0.9937170653</v>
      </c>
      <c r="E12" s="8">
        <f>SUMIFS(tally_data!$H:$H, tally_data!$A:$A, "Round 2", tally_data!$D:$D, $A12)</f>
        <v>27290</v>
      </c>
      <c r="F12" s="8">
        <f>SUMIFS(tally_data!$AH:$AH, tally_data!$A:$A, "Round 2", tally_data!$D:$D, $A12)</f>
        <v>27871</v>
      </c>
      <c r="G12" s="10">
        <f t="shared" si="2"/>
        <v>1.02128985</v>
      </c>
      <c r="H12" s="10">
        <f t="shared" si="3"/>
        <v>0.0275727845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134</v>
      </c>
      <c r="B13" s="8">
        <f>SUMIFS(tally_data!$H:$H, tally_data!$A:$A, "Round 1", tally_data!$D:$D, $A13)</f>
        <v>50251</v>
      </c>
      <c r="C13" s="8">
        <f>SUMIFS(tally_data!$AH:$AH, tally_data!$A:$A, "Round 1", tally_data!$D:$D, $A13)</f>
        <v>45242</v>
      </c>
      <c r="D13" s="10">
        <f t="shared" si="1"/>
        <v>0.9003203916</v>
      </c>
      <c r="E13" s="8">
        <f>SUMIFS(tally_data!$H:$H, tally_data!$A:$A, "Round 2", tally_data!$D:$D, $A13)</f>
        <v>41450</v>
      </c>
      <c r="F13" s="8">
        <f>SUMIFS(tally_data!$AH:$AH, tally_data!$A:$A, "Round 2", tally_data!$D:$D, $A13)</f>
        <v>36273</v>
      </c>
      <c r="G13" s="10">
        <f t="shared" si="2"/>
        <v>0.8751025332</v>
      </c>
      <c r="H13" s="10">
        <f t="shared" si="3"/>
        <v>-0.02521785846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143</v>
      </c>
      <c r="B14" s="8">
        <f>SUMIFS(tally_data!$H:$H, tally_data!$A:$A, "Round 1", tally_data!$D:$D, $A14)</f>
        <v>39103</v>
      </c>
      <c r="C14" s="8">
        <f>SUMIFS(tally_data!$AH:$AH, tally_data!$A:$A, "Round 1", tally_data!$D:$D, $A14)</f>
        <v>38971</v>
      </c>
      <c r="D14" s="10">
        <f t="shared" si="1"/>
        <v>0.9966242999</v>
      </c>
      <c r="E14" s="8">
        <f>SUMIFS(tally_data!$H:$H, tally_data!$A:$A, "Round 2", tally_data!$D:$D, $A14)</f>
        <v>53839</v>
      </c>
      <c r="F14" s="8">
        <f>SUMIFS(tally_data!$AH:$AH, tally_data!$A:$A, "Round 2", tally_data!$D:$D, $A14)</f>
        <v>52384</v>
      </c>
      <c r="G14" s="10">
        <f t="shared" si="2"/>
        <v>0.972974981</v>
      </c>
      <c r="H14" s="10">
        <f t="shared" si="3"/>
        <v>-0.02364931896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 t="s">
        <v>162</v>
      </c>
      <c r="B17" s="8"/>
      <c r="C17" s="8"/>
      <c r="D17" s="8"/>
      <c r="E17" s="8"/>
      <c r="F17" s="8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 t="s">
        <v>163</v>
      </c>
      <c r="B18" s="4" t="s">
        <v>164</v>
      </c>
      <c r="C18" s="4" t="s">
        <v>165</v>
      </c>
      <c r="D18" s="5" t="s">
        <v>166</v>
      </c>
      <c r="E18" s="8"/>
      <c r="F18" s="8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 t="s">
        <v>36</v>
      </c>
      <c r="B19" s="8">
        <f>SUMIFS(tally_data!V:V, tally_data!A:A, "Round 1")</f>
        <v>816</v>
      </c>
      <c r="C19" s="12">
        <f>SUMIFS(tally_data!Z:Z, tally_data!A:A, "Round 1")</f>
        <v>247</v>
      </c>
      <c r="D19" s="10">
        <f t="shared" ref="D19:D20" si="4">C19/B19</f>
        <v>0.3026960784</v>
      </c>
      <c r="E19" s="8"/>
      <c r="F19" s="8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151</v>
      </c>
      <c r="B20" s="12">
        <f>SUMIFS(tally_data!V:V, tally_data!A:A, "Round 2")</f>
        <v>844</v>
      </c>
      <c r="C20" s="12">
        <f>SUMIFS(tally_data!Z:Z, tally_data!A:A, "Round 2")</f>
        <v>99</v>
      </c>
      <c r="D20" s="10">
        <f t="shared" si="4"/>
        <v>0.1172985782</v>
      </c>
      <c r="E20" s="8"/>
      <c r="F20" s="8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B21" s="8"/>
      <c r="C21" s="8"/>
      <c r="D21" s="8"/>
      <c r="E21" s="8"/>
      <c r="F21" s="8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 t="s">
        <v>167</v>
      </c>
      <c r="B23" s="8"/>
      <c r="C23" s="8"/>
      <c r="D23" s="8"/>
      <c r="E23" s="8"/>
      <c r="F23" s="8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 t="s">
        <v>168</v>
      </c>
      <c r="B24" s="4" t="s">
        <v>169</v>
      </c>
      <c r="C24" s="4" t="s">
        <v>170</v>
      </c>
      <c r="D24" s="8"/>
      <c r="E24" s="8"/>
      <c r="F24" s="8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171</v>
      </c>
      <c r="B25" s="8">
        <f>SUMIFS(tally_data!$V:$V, tally_data!$A:$A, "Round 1", tally_data!$AJ:$AJ, $A25)</f>
        <v>239</v>
      </c>
      <c r="C25" s="8">
        <f>SUMIFS(tally_data!$V:$V, tally_data!$A:$A, "Round 2", tally_data!$AJ:$AJ, $A25)</f>
        <v>171</v>
      </c>
      <c r="D25" s="8"/>
      <c r="E25" s="8"/>
      <c r="F25" s="8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" t="s">
        <v>172</v>
      </c>
      <c r="B26" s="8">
        <f>SUMIFS(tally_data!$V:$V, tally_data!$A:$A, "Round 1", tally_data!$AJ:$AJ, $A26)</f>
        <v>106</v>
      </c>
      <c r="C26" s="8">
        <f>SUMIFS(tally_data!$V:$V, tally_data!$A:$A, "Round 2", tally_data!$AJ:$AJ, $A26)</f>
        <v>148</v>
      </c>
      <c r="D26" s="8"/>
      <c r="E26" s="8"/>
      <c r="F26" s="8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3" t="s">
        <v>173</v>
      </c>
      <c r="B27" s="8">
        <f>SUMIFS(tally_data!$V:$V, tally_data!$A:$A, "Round 1", tally_data!$AJ:$AJ, $A27)</f>
        <v>78</v>
      </c>
      <c r="C27" s="8">
        <f>SUMIFS(tally_data!$V:$V, tally_data!$A:$A, "Round 2", tally_data!$AJ:$AJ, $A27)</f>
        <v>108</v>
      </c>
      <c r="D27" s="8"/>
      <c r="E27" s="8"/>
      <c r="F27" s="8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3" t="s">
        <v>174</v>
      </c>
      <c r="B28" s="8">
        <f>SUMIFS(tally_data!$V:$V, tally_data!$A:$A, "Round 1", tally_data!$AJ:$AJ, $A28)</f>
        <v>38</v>
      </c>
      <c r="C28" s="8">
        <f>SUMIFS(tally_data!$V:$V, tally_data!$A:$A, "Round 2", tally_data!$AJ:$AJ, $A28)</f>
        <v>93</v>
      </c>
      <c r="D28" s="8"/>
      <c r="E28" s="8"/>
      <c r="F28" s="8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3" t="s">
        <v>175</v>
      </c>
      <c r="B29" s="8">
        <f>SUMIFS(tally_data!$V:$V, tally_data!$A:$A, "Round 1", tally_data!$AJ:$AJ, $A29)</f>
        <v>156</v>
      </c>
      <c r="C29" s="8">
        <f>SUMIFS(tally_data!$V:$V, tally_data!$A:$A, "Round 2", tally_data!$AJ:$AJ, $A29)</f>
        <v>50</v>
      </c>
      <c r="D29" s="8"/>
      <c r="E29" s="8"/>
      <c r="F29" s="8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3" t="s">
        <v>176</v>
      </c>
      <c r="B30" s="8">
        <f>SUMIFS(tally_data!$V:$V, tally_data!$A:$A, "Round 1", tally_data!$AJ:$AJ, $A30)</f>
        <v>46</v>
      </c>
      <c r="C30" s="8">
        <f>SUMIFS(tally_data!$V:$V, tally_data!$A:$A, "Round 2", tally_data!$AJ:$AJ, $A30)</f>
        <v>96</v>
      </c>
      <c r="D30" s="8"/>
      <c r="E30" s="8"/>
      <c r="F30" s="8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3" t="s">
        <v>177</v>
      </c>
      <c r="B31" s="8">
        <f>SUMIFS(tally_data!$V:$V, tally_data!$A:$A, "Round 1", tally_data!$AJ:$AJ, $A31)</f>
        <v>85</v>
      </c>
      <c r="C31" s="8">
        <f>SUMIFS(tally_data!$V:$V, tally_data!$A:$A, "Round 2", tally_data!$AJ:$AJ, $A31)</f>
        <v>41</v>
      </c>
      <c r="D31" s="8"/>
      <c r="E31" s="8"/>
      <c r="F31" s="8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3" t="s">
        <v>178</v>
      </c>
      <c r="B32" s="8">
        <f>SUMIFS(tally_data!$V:$V, tally_data!$A:$A, "Round 1", tally_data!$AJ:$AJ, $A32)</f>
        <v>42</v>
      </c>
      <c r="C32" s="8">
        <f>SUMIFS(tally_data!$V:$V, tally_data!$A:$A, "Round 2", tally_data!$AJ:$AJ, $A32)</f>
        <v>88</v>
      </c>
      <c r="D32" s="8"/>
      <c r="E32" s="8"/>
      <c r="F32" s="8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3" t="s">
        <v>179</v>
      </c>
      <c r="B33" s="8">
        <f>SUMIFS(tally_data!$V:$V, tally_data!$A:$A, "Round 1", tally_data!$AJ:$AJ, $A33)</f>
        <v>15</v>
      </c>
      <c r="C33" s="8">
        <f>SUMIFS(tally_data!$V:$V, tally_data!$A:$A, "Round 2", tally_data!$AJ:$AJ, $A33)</f>
        <v>46</v>
      </c>
      <c r="D33" s="8"/>
      <c r="E33" s="8"/>
      <c r="F33" s="8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3" t="s">
        <v>180</v>
      </c>
      <c r="B34" s="8">
        <f>SUMIFS(tally_data!$V:$V, tally_data!$A:$A, "Round 1", tally_data!$AJ:$AJ, $A34)</f>
        <v>11</v>
      </c>
      <c r="C34" s="8">
        <f>SUMIFS(tally_data!$V:$V, tally_data!$A:$A, "Round 2", tally_data!$AJ:$AJ, $A34)</f>
        <v>3</v>
      </c>
      <c r="D34" s="8"/>
      <c r="E34" s="8"/>
      <c r="F34" s="8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1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1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1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1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1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1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1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1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1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1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1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1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1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1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1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1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1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1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1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1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1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1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1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1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1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1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1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1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1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10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10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10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10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10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10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10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10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10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10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10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10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10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10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10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10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10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10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10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10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10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10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10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10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10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10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10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10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10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10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10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10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10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10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10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10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10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10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10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10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10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10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10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10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10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10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10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10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10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10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10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10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10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10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10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10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10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10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10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10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10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10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10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10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10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10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10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10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10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10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10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10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10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10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10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10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10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10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10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10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10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10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10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10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10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10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10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10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10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10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10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10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10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10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10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10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10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10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10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10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10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10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10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10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10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10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10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10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10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10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10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10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10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10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10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10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10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10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10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10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10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10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10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10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10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10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10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10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10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10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10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10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10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10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10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10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10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10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10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10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10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10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10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10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10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10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10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10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10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10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10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10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10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10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10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10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10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10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10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10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10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10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10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10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10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10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10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10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10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10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10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10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10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10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10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10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10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10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10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10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10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10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10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10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10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10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10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10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10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10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10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10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10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10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10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10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10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10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10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10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10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10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10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10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10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10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10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10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10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10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10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10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10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10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10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10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10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10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10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10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78.0"/>
    <col customWidth="1" min="3" max="26" width="8.71"/>
  </cols>
  <sheetData>
    <row r="1">
      <c r="A1" s="14" t="s">
        <v>181</v>
      </c>
    </row>
    <row r="2" ht="30.0" customHeight="1">
      <c r="A2" s="15" t="s">
        <v>182</v>
      </c>
    </row>
    <row r="4">
      <c r="A4" s="1" t="s">
        <v>183</v>
      </c>
      <c r="B4" s="1" t="s">
        <v>184</v>
      </c>
    </row>
    <row r="5">
      <c r="A5" s="16" t="s">
        <v>0</v>
      </c>
      <c r="B5" s="17" t="s">
        <v>185</v>
      </c>
    </row>
    <row r="6">
      <c r="A6" s="18" t="s">
        <v>1</v>
      </c>
      <c r="B6" s="19" t="s">
        <v>186</v>
      </c>
    </row>
    <row r="7">
      <c r="A7" s="16" t="s">
        <v>2</v>
      </c>
      <c r="B7" s="17" t="s">
        <v>187</v>
      </c>
    </row>
    <row r="8">
      <c r="A8" s="18" t="s">
        <v>3</v>
      </c>
      <c r="B8" s="19" t="s">
        <v>188</v>
      </c>
    </row>
    <row r="9">
      <c r="A9" s="16" t="s">
        <v>4</v>
      </c>
      <c r="B9" s="17" t="s">
        <v>189</v>
      </c>
    </row>
    <row r="10">
      <c r="A10" s="18" t="s">
        <v>5</v>
      </c>
      <c r="B10" s="19" t="s">
        <v>190</v>
      </c>
    </row>
    <row r="11">
      <c r="A11" s="16" t="s">
        <v>6</v>
      </c>
      <c r="B11" s="17" t="s">
        <v>191</v>
      </c>
    </row>
    <row r="12">
      <c r="A12" s="18" t="s">
        <v>7</v>
      </c>
      <c r="B12" s="19" t="s">
        <v>192</v>
      </c>
    </row>
    <row r="13">
      <c r="A13" s="16" t="s">
        <v>8</v>
      </c>
      <c r="B13" s="17" t="s">
        <v>193</v>
      </c>
    </row>
    <row r="14">
      <c r="A14" s="18" t="s">
        <v>9</v>
      </c>
      <c r="B14" s="19" t="s">
        <v>194</v>
      </c>
    </row>
    <row r="15">
      <c r="A15" s="16" t="s">
        <v>10</v>
      </c>
      <c r="B15" s="17" t="s">
        <v>195</v>
      </c>
    </row>
    <row r="16">
      <c r="A16" s="18" t="s">
        <v>11</v>
      </c>
      <c r="B16" s="19" t="s">
        <v>196</v>
      </c>
    </row>
    <row r="17">
      <c r="A17" s="16" t="s">
        <v>12</v>
      </c>
      <c r="B17" s="17" t="s">
        <v>197</v>
      </c>
    </row>
    <row r="18">
      <c r="A18" s="18" t="s">
        <v>13</v>
      </c>
      <c r="B18" s="19" t="s">
        <v>198</v>
      </c>
    </row>
    <row r="19">
      <c r="A19" s="16" t="s">
        <v>14</v>
      </c>
      <c r="B19" s="17" t="s">
        <v>199</v>
      </c>
    </row>
    <row r="20">
      <c r="A20" s="18" t="s">
        <v>15</v>
      </c>
      <c r="B20" s="19" t="s">
        <v>200</v>
      </c>
    </row>
    <row r="21" ht="15.75" customHeight="1">
      <c r="A21" s="16" t="s">
        <v>16</v>
      </c>
      <c r="B21" s="17" t="s">
        <v>201</v>
      </c>
    </row>
    <row r="22" ht="15.75" customHeight="1">
      <c r="A22" s="18" t="s">
        <v>17</v>
      </c>
      <c r="B22" s="19" t="s">
        <v>202</v>
      </c>
    </row>
    <row r="23" ht="15.75" customHeight="1">
      <c r="A23" s="16" t="s">
        <v>18</v>
      </c>
      <c r="B23" s="17" t="s">
        <v>203</v>
      </c>
    </row>
    <row r="24" ht="15.75" customHeight="1">
      <c r="A24" s="18" t="s">
        <v>19</v>
      </c>
      <c r="B24" s="19" t="s">
        <v>204</v>
      </c>
    </row>
    <row r="25" ht="15.75" customHeight="1">
      <c r="A25" s="16" t="s">
        <v>20</v>
      </c>
      <c r="B25" s="17" t="s">
        <v>205</v>
      </c>
    </row>
    <row r="26" ht="15.75" customHeight="1">
      <c r="A26" s="18" t="s">
        <v>21</v>
      </c>
      <c r="B26" s="19" t="s">
        <v>206</v>
      </c>
    </row>
    <row r="27" ht="15.75" customHeight="1">
      <c r="A27" s="16" t="s">
        <v>22</v>
      </c>
      <c r="B27" s="17" t="s">
        <v>207</v>
      </c>
    </row>
    <row r="28" ht="15.75" customHeight="1">
      <c r="A28" s="18" t="s">
        <v>23</v>
      </c>
      <c r="B28" s="19" t="s">
        <v>208</v>
      </c>
    </row>
    <row r="29" ht="15.75" customHeight="1">
      <c r="A29" s="16" t="s">
        <v>24</v>
      </c>
      <c r="B29" s="17" t="s">
        <v>209</v>
      </c>
    </row>
    <row r="30" ht="15.75" customHeight="1">
      <c r="A30" s="18" t="s">
        <v>25</v>
      </c>
      <c r="B30" s="19" t="s">
        <v>210</v>
      </c>
    </row>
    <row r="31" ht="15.75" customHeight="1">
      <c r="A31" s="16" t="s">
        <v>26</v>
      </c>
      <c r="B31" s="17" t="s">
        <v>211</v>
      </c>
    </row>
    <row r="32" ht="15.75" customHeight="1">
      <c r="A32" s="18" t="s">
        <v>27</v>
      </c>
      <c r="B32" s="19" t="s">
        <v>212</v>
      </c>
    </row>
    <row r="33" ht="15.75" customHeight="1">
      <c r="A33" s="16" t="s">
        <v>28</v>
      </c>
      <c r="B33" s="17" t="s">
        <v>213</v>
      </c>
    </row>
    <row r="34" ht="15.75" customHeight="1">
      <c r="A34" s="18" t="s">
        <v>29</v>
      </c>
      <c r="B34" s="19" t="s">
        <v>214</v>
      </c>
    </row>
    <row r="35" ht="15.75" customHeight="1">
      <c r="A35" s="16" t="s">
        <v>30</v>
      </c>
      <c r="B35" s="17" t="s">
        <v>215</v>
      </c>
    </row>
    <row r="36" ht="15.75" customHeight="1">
      <c r="A36" s="18" t="s">
        <v>31</v>
      </c>
      <c r="B36" s="19" t="s">
        <v>216</v>
      </c>
    </row>
    <row r="37" ht="15.75" customHeight="1">
      <c r="A37" s="16" t="s">
        <v>32</v>
      </c>
      <c r="B37" s="17" t="s">
        <v>217</v>
      </c>
    </row>
    <row r="38" ht="15.75" customHeight="1">
      <c r="A38" s="18" t="s">
        <v>33</v>
      </c>
      <c r="B38" s="19" t="s">
        <v>218</v>
      </c>
    </row>
    <row r="39" ht="15.75" customHeight="1">
      <c r="A39" s="16" t="s">
        <v>34</v>
      </c>
      <c r="B39" s="17" t="s">
        <v>219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B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2.0"/>
    <col customWidth="1" min="3" max="26" width="8.71"/>
  </cols>
  <sheetData>
    <row r="1">
      <c r="A1" s="14" t="s">
        <v>220</v>
      </c>
    </row>
    <row r="2" ht="42.0" customHeight="1">
      <c r="A2" s="15" t="s">
        <v>221</v>
      </c>
    </row>
    <row r="4">
      <c r="A4" s="1" t="s">
        <v>222</v>
      </c>
      <c r="B4" s="1" t="s">
        <v>223</v>
      </c>
    </row>
    <row r="5">
      <c r="A5" s="16" t="s">
        <v>51</v>
      </c>
      <c r="B5" s="17" t="s">
        <v>171</v>
      </c>
    </row>
    <row r="6">
      <c r="A6" s="18" t="s">
        <v>46</v>
      </c>
      <c r="B6" s="19" t="s">
        <v>172</v>
      </c>
    </row>
    <row r="7">
      <c r="A7" s="16" t="s">
        <v>41</v>
      </c>
      <c r="B7" s="17" t="s">
        <v>173</v>
      </c>
    </row>
    <row r="8">
      <c r="A8" s="18" t="s">
        <v>61</v>
      </c>
      <c r="B8" s="19" t="s">
        <v>174</v>
      </c>
    </row>
    <row r="9">
      <c r="A9" s="16" t="s">
        <v>78</v>
      </c>
      <c r="B9" s="17" t="s">
        <v>175</v>
      </c>
    </row>
    <row r="10">
      <c r="A10" s="18" t="s">
        <v>43</v>
      </c>
      <c r="B10" s="19" t="s">
        <v>176</v>
      </c>
    </row>
    <row r="11">
      <c r="A11" s="16" t="s">
        <v>59</v>
      </c>
      <c r="B11" s="17" t="s">
        <v>177</v>
      </c>
    </row>
    <row r="12">
      <c r="A12" s="18" t="s">
        <v>73</v>
      </c>
      <c r="B12" s="19" t="s">
        <v>178</v>
      </c>
    </row>
    <row r="13">
      <c r="A13" s="16" t="s">
        <v>82</v>
      </c>
      <c r="B13" s="17" t="s">
        <v>179</v>
      </c>
    </row>
    <row r="14">
      <c r="A14" s="18" t="s">
        <v>119</v>
      </c>
      <c r="B14" s="19" t="s">
        <v>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B2"/>
  </mergeCells>
  <printOptions/>
  <pageMargins bottom="1.0" footer="0.0" header="0.0" left="0.75" right="0.75" top="1.0"/>
  <pageSetup orientation="landscape"/>
  <drawing r:id="rId1"/>
</worksheet>
</file>